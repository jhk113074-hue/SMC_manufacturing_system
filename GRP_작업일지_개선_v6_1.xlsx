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nic\Downloads\"/>
    </mc:Choice>
  </mc:AlternateContent>
  <xr:revisionPtr revIDLastSave="0" documentId="13_ncr:1_{A2FC85E3-B5A7-4573-BF28-FB9E0B0A8BFC}" xr6:coauthVersionLast="47" xr6:coauthVersionMax="47" xr10:uidLastSave="{00000000-0000-0000-0000-000000000000}"/>
  <bookViews>
    <workbookView xWindow="-108" yWindow="-108" windowWidth="23256" windowHeight="12456" activeTab="1" xr2:uid="{33F9D14E-5E71-4037-8F15-7C5BC77D7D00}"/>
  </bookViews>
  <sheets>
    <sheet name="생산일지 (4)" sheetId="1" r:id="rId1"/>
    <sheet name="일일 생산일지(신규)" sheetId="3" r:id="rId2"/>
    <sheet name="설정값 계산" sheetId="2" r:id="rId3"/>
  </sheets>
  <definedNames>
    <definedName name="_xlnm.Print_Area" localSheetId="0">'생산일지 (4)'!$A$1:$DY$67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" i="3" l="1"/>
  <c r="D30" i="3"/>
  <c r="L31" i="3"/>
  <c r="L30" i="3"/>
  <c r="L29" i="3"/>
  <c r="E86" i="2"/>
  <c r="E85" i="2"/>
  <c r="E84" i="2"/>
  <c r="C84" i="2"/>
  <c r="E83" i="2"/>
  <c r="C83" i="2"/>
  <c r="E82" i="2"/>
  <c r="C82" i="2"/>
  <c r="D82" i="2" s="1"/>
  <c r="F82" i="2" s="1"/>
  <c r="E81" i="2"/>
  <c r="C81" i="2"/>
  <c r="D81" i="2" s="1"/>
  <c r="E80" i="2"/>
  <c r="C80" i="2"/>
  <c r="D80" i="2" s="1"/>
  <c r="E79" i="2"/>
  <c r="C79" i="2"/>
  <c r="E78" i="2"/>
  <c r="C78" i="2"/>
  <c r="E77" i="2"/>
  <c r="C77" i="2"/>
  <c r="E76" i="2"/>
  <c r="C76" i="2"/>
  <c r="D76" i="2" s="1"/>
  <c r="F76" i="2" s="1"/>
  <c r="E75" i="2"/>
  <c r="C75" i="2"/>
  <c r="D75" i="2" s="1"/>
  <c r="E74" i="2"/>
  <c r="C74" i="2"/>
  <c r="D74" i="2" s="1"/>
  <c r="E73" i="2"/>
  <c r="C73" i="2"/>
  <c r="E72" i="2"/>
  <c r="C72" i="2"/>
  <c r="E71" i="2"/>
  <c r="C71" i="2"/>
  <c r="C66" i="2"/>
  <c r="C67" i="2" s="1"/>
  <c r="C58" i="2"/>
  <c r="C40" i="2"/>
  <c r="C42" i="2" s="1"/>
  <c r="D37" i="2"/>
  <c r="F37" i="2" s="1"/>
  <c r="C37" i="2"/>
  <c r="B37" i="2"/>
  <c r="D34" i="2"/>
  <c r="F34" i="2" s="1"/>
  <c r="C34" i="2"/>
  <c r="B34" i="2"/>
  <c r="D33" i="2"/>
  <c r="F33" i="2" s="1"/>
  <c r="C33" i="2"/>
  <c r="B33" i="2"/>
  <c r="D32" i="2"/>
  <c r="F32" i="2" s="1"/>
  <c r="C32" i="2"/>
  <c r="B32" i="2"/>
  <c r="D31" i="2"/>
  <c r="F31" i="2" s="1"/>
  <c r="C31" i="2"/>
  <c r="B31" i="2"/>
  <c r="D30" i="2"/>
  <c r="F30" i="2" s="1"/>
  <c r="C30" i="2"/>
  <c r="B30" i="2"/>
  <c r="D29" i="2"/>
  <c r="F29" i="2" s="1"/>
  <c r="C29" i="2"/>
  <c r="B29" i="2"/>
  <c r="D28" i="2"/>
  <c r="F28" i="2" s="1"/>
  <c r="C28" i="2"/>
  <c r="B28" i="2"/>
  <c r="D27" i="2"/>
  <c r="F27" i="2" s="1"/>
  <c r="C27" i="2"/>
  <c r="B27" i="2"/>
  <c r="D26" i="2"/>
  <c r="F26" i="2" s="1"/>
  <c r="C26" i="2"/>
  <c r="B26" i="2"/>
  <c r="D25" i="2"/>
  <c r="F25" i="2" s="1"/>
  <c r="C25" i="2"/>
  <c r="B25" i="2"/>
  <c r="D24" i="2"/>
  <c r="F24" i="2" s="1"/>
  <c r="C24" i="2"/>
  <c r="B24" i="2"/>
  <c r="D23" i="2"/>
  <c r="F23" i="2" s="1"/>
  <c r="C23" i="2"/>
  <c r="B23" i="2"/>
  <c r="D22" i="2"/>
  <c r="F22" i="2" s="1"/>
  <c r="C22" i="2"/>
  <c r="B22" i="2"/>
  <c r="D21" i="2"/>
  <c r="D35" i="2" s="1"/>
  <c r="C21" i="2"/>
  <c r="B21" i="2"/>
  <c r="C11" i="2"/>
  <c r="C10" i="2"/>
  <c r="C9" i="2"/>
  <c r="C48" i="2" s="1"/>
  <c r="M51" i="3"/>
  <c r="L51" i="3"/>
  <c r="F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Q59" i="1"/>
  <c r="AY28" i="1" s="1"/>
  <c r="AY29" i="1" s="1"/>
  <c r="DD52" i="1" s="1"/>
  <c r="CH52" i="1"/>
  <c r="Z29" i="1"/>
  <c r="CF28" i="1"/>
  <c r="AE28" i="1"/>
  <c r="AL28" i="1" s="1"/>
  <c r="EB27" i="1"/>
  <c r="AL27" i="1"/>
  <c r="CF26" i="1"/>
  <c r="AL26" i="1"/>
  <c r="AL25" i="1"/>
  <c r="EC24" i="1"/>
  <c r="CF24" i="1"/>
  <c r="AL24" i="1"/>
  <c r="AL23" i="1"/>
  <c r="EB22" i="1"/>
  <c r="EB23" i="1" s="1"/>
  <c r="AL22" i="1"/>
  <c r="AL21" i="1"/>
  <c r="EC20" i="1"/>
  <c r="EB20" i="1"/>
  <c r="AL20" i="1"/>
  <c r="AL19" i="1"/>
  <c r="AL18" i="1"/>
  <c r="AL17" i="1"/>
  <c r="EB16" i="1"/>
  <c r="AL16" i="1"/>
  <c r="AL15" i="1"/>
  <c r="AL14" i="1"/>
  <c r="AL13" i="1"/>
  <c r="DJ7" i="1"/>
  <c r="H25" i="3" l="1"/>
  <c r="L52" i="3" s="1"/>
  <c r="G25" i="3"/>
  <c r="AL29" i="1"/>
  <c r="D71" i="2"/>
  <c r="D77" i="2"/>
  <c r="F71" i="2"/>
  <c r="D72" i="2"/>
  <c r="D78" i="2"/>
  <c r="D84" i="2"/>
  <c r="F84" i="2" s="1"/>
  <c r="F72" i="2"/>
  <c r="F78" i="2"/>
  <c r="D73" i="2"/>
  <c r="D79" i="2"/>
  <c r="F79" i="2" s="1"/>
  <c r="F74" i="2"/>
  <c r="F80" i="2"/>
  <c r="F60" i="2"/>
  <c r="G60" i="2" s="1"/>
  <c r="F61" i="2"/>
  <c r="G61" i="2" s="1"/>
  <c r="H35" i="3" s="1"/>
  <c r="F75" i="2"/>
  <c r="F81" i="2"/>
  <c r="D83" i="2"/>
  <c r="F83" i="2" s="1"/>
  <c r="F77" i="2"/>
  <c r="C36" i="2"/>
  <c r="C46" i="2" s="1"/>
  <c r="C47" i="2" s="1"/>
  <c r="C38" i="2"/>
  <c r="F21" i="2"/>
  <c r="F35" i="2" s="1"/>
  <c r="Q60" i="1"/>
  <c r="C41" i="2"/>
  <c r="C43" i="2" s="1"/>
  <c r="G30" i="3" l="1"/>
  <c r="F73" i="2"/>
  <c r="C86" i="2"/>
  <c r="F86" i="2" s="1"/>
  <c r="G35" i="3"/>
  <c r="C6" i="2"/>
  <c r="C44" i="2"/>
  <c r="C45" i="2" s="1"/>
  <c r="C49" i="2" s="1"/>
  <c r="BP23" i="1"/>
  <c r="B6" i="2"/>
  <c r="C50" i="2" l="1"/>
  <c r="C51" i="2" s="1"/>
  <c r="EA24" i="1"/>
  <c r="EA26" i="1"/>
  <c r="CT26" i="1"/>
  <c r="EA25" i="1"/>
  <c r="CT24" i="1"/>
  <c r="CT28" i="1"/>
  <c r="C52" i="2" l="1"/>
  <c r="C53" i="2"/>
  <c r="E35" i="3" l="1"/>
  <c r="E6" i="2"/>
  <c r="F35" i="3"/>
</calcChain>
</file>

<file path=xl/sharedStrings.xml><?xml version="1.0" encoding="utf-8"?>
<sst xmlns="http://schemas.openxmlformats.org/spreadsheetml/2006/main" count="385" uniqueCount="349">
  <si>
    <t>SMC 생산일지</t>
    <phoneticPr fontId="6" type="noConversion"/>
  </si>
  <si>
    <t>1. 기본사항</t>
    <phoneticPr fontId="10" type="noConversion"/>
  </si>
  <si>
    <t>품명</t>
    <phoneticPr fontId="10" type="noConversion"/>
  </si>
  <si>
    <t xml:space="preserve">SMC 물탱크용 </t>
    <phoneticPr fontId="10" type="noConversion"/>
  </si>
  <si>
    <t>온도</t>
    <phoneticPr fontId="10" type="noConversion"/>
  </si>
  <si>
    <t>℃</t>
    <phoneticPr fontId="3" type="noConversion"/>
  </si>
  <si>
    <t>습도</t>
    <phoneticPr fontId="10" type="noConversion"/>
  </si>
  <si>
    <t>%</t>
    <phoneticPr fontId="10" type="noConversion"/>
  </si>
  <si>
    <t>날씨</t>
    <phoneticPr fontId="10" type="noConversion"/>
  </si>
  <si>
    <t>생산 Batch</t>
    <phoneticPr fontId="10" type="noConversion"/>
  </si>
  <si>
    <t>Batch</t>
    <phoneticPr fontId="10" type="noConversion"/>
  </si>
  <si>
    <t>Lot</t>
    <phoneticPr fontId="10" type="noConversion"/>
  </si>
  <si>
    <t>HYVINA-WTG-260707-1~</t>
    <phoneticPr fontId="10" type="noConversion"/>
  </si>
  <si>
    <t>생산시간</t>
    <phoneticPr fontId="10" type="noConversion"/>
  </si>
  <si>
    <t>비가동 내역</t>
    <phoneticPr fontId="10" type="noConversion"/>
  </si>
  <si>
    <t>생산준비 및 청소</t>
    <phoneticPr fontId="10" type="noConversion"/>
  </si>
  <si>
    <t>작업인원</t>
    <phoneticPr fontId="10" type="noConversion"/>
  </si>
  <si>
    <t>명</t>
    <phoneticPr fontId="10" type="noConversion"/>
  </si>
  <si>
    <t>생산 중량</t>
    <phoneticPr fontId="10" type="noConversion"/>
  </si>
  <si>
    <t>Kg</t>
    <phoneticPr fontId="10" type="noConversion"/>
  </si>
  <si>
    <t>2. 원재료 투입량</t>
    <phoneticPr fontId="10" type="noConversion"/>
  </si>
  <si>
    <t>3. 점도 확인</t>
    <phoneticPr fontId="10" type="noConversion"/>
  </si>
  <si>
    <t>No</t>
    <phoneticPr fontId="6" type="noConversion"/>
  </si>
  <si>
    <t>품목</t>
    <phoneticPr fontId="10" type="noConversion"/>
  </si>
  <si>
    <t>규격</t>
    <phoneticPr fontId="6" type="noConversion"/>
  </si>
  <si>
    <t>사용량
(Kg)</t>
    <phoneticPr fontId="6" type="noConversion"/>
  </si>
  <si>
    <t>총 원료 사용량
(Kg)</t>
    <phoneticPr fontId="6" type="noConversion"/>
  </si>
  <si>
    <t>실 원료 사용량
(Kg)</t>
    <phoneticPr fontId="10" type="noConversion"/>
  </si>
  <si>
    <t>No.</t>
    <phoneticPr fontId="10" type="noConversion"/>
  </si>
  <si>
    <t>초기점도
(PS/℃)</t>
    <phoneticPr fontId="10" type="noConversion"/>
  </si>
  <si>
    <t>증점거동(PS/℃)</t>
    <phoneticPr fontId="10" type="noConversion"/>
  </si>
  <si>
    <t>5분</t>
    <phoneticPr fontId="10" type="noConversion"/>
  </si>
  <si>
    <t>10분</t>
    <phoneticPr fontId="10" type="noConversion"/>
  </si>
  <si>
    <t>15분</t>
    <phoneticPr fontId="10" type="noConversion"/>
  </si>
  <si>
    <t>20분</t>
    <phoneticPr fontId="10" type="noConversion"/>
  </si>
  <si>
    <t>25분</t>
  </si>
  <si>
    <t>불포화수지</t>
    <phoneticPr fontId="10" type="noConversion"/>
  </si>
  <si>
    <t>SC-637S</t>
    <phoneticPr fontId="10" type="noConversion"/>
  </si>
  <si>
    <t>저수축제</t>
    <phoneticPr fontId="10" type="noConversion"/>
  </si>
  <si>
    <t>PS40</t>
    <phoneticPr fontId="10" type="noConversion"/>
  </si>
  <si>
    <t>희석제</t>
    <phoneticPr fontId="10" type="noConversion"/>
  </si>
  <si>
    <t>SM</t>
    <phoneticPr fontId="6" type="noConversion"/>
  </si>
  <si>
    <t>3-2</t>
    <phoneticPr fontId="10" type="noConversion"/>
  </si>
  <si>
    <t>첨가제</t>
    <phoneticPr fontId="10" type="noConversion"/>
  </si>
  <si>
    <t>K972</t>
    <phoneticPr fontId="6" type="noConversion"/>
  </si>
  <si>
    <t>K996</t>
    <phoneticPr fontId="10" type="noConversion"/>
  </si>
  <si>
    <t>중합금지제</t>
    <phoneticPr fontId="10" type="noConversion"/>
  </si>
  <si>
    <t>CBA109N</t>
    <phoneticPr fontId="10" type="noConversion"/>
  </si>
  <si>
    <t>경화제</t>
    <phoneticPr fontId="10" type="noConversion"/>
  </si>
  <si>
    <t>TBPB</t>
    <phoneticPr fontId="6" type="noConversion"/>
  </si>
  <si>
    <t>4. 토출량 확인</t>
    <phoneticPr fontId="10" type="noConversion"/>
  </si>
  <si>
    <t>초기 증점조절제</t>
    <phoneticPr fontId="10" type="noConversion"/>
  </si>
  <si>
    <t>CBA308S</t>
    <phoneticPr fontId="10" type="noConversion"/>
  </si>
  <si>
    <t>FHP</t>
    <phoneticPr fontId="6" type="noConversion"/>
  </si>
  <si>
    <t>토출 비</t>
    <phoneticPr fontId="10" type="noConversion"/>
  </si>
  <si>
    <t>토출량</t>
    <phoneticPr fontId="10" type="noConversion"/>
  </si>
  <si>
    <t>실토출량</t>
    <phoneticPr fontId="10" type="noConversion"/>
  </si>
  <si>
    <t>이형제</t>
    <phoneticPr fontId="10" type="noConversion"/>
  </si>
  <si>
    <t>HI-FLOW</t>
    <phoneticPr fontId="6" type="noConversion"/>
  </si>
  <si>
    <t>충진제</t>
    <phoneticPr fontId="10" type="noConversion"/>
  </si>
  <si>
    <t>CaCO3</t>
    <phoneticPr fontId="6" type="noConversion"/>
  </si>
  <si>
    <t>컴파운드(Kg/min)</t>
    <phoneticPr fontId="3" type="noConversion"/>
  </si>
  <si>
    <t>증점제</t>
    <phoneticPr fontId="10" type="noConversion"/>
  </si>
  <si>
    <t>MGO-813</t>
    <phoneticPr fontId="6" type="noConversion"/>
  </si>
  <si>
    <t>증점제(g/min)</t>
    <phoneticPr fontId="3" type="noConversion"/>
  </si>
  <si>
    <t>조색제</t>
    <phoneticPr fontId="10" type="noConversion"/>
  </si>
  <si>
    <t>GRAY (9098)</t>
    <phoneticPr fontId="6" type="noConversion"/>
  </si>
  <si>
    <t>유리섬유</t>
    <phoneticPr fontId="10" type="noConversion"/>
  </si>
  <si>
    <t>4800TEX</t>
    <phoneticPr fontId="6" type="noConversion"/>
  </si>
  <si>
    <t>조색제(g/min)</t>
    <phoneticPr fontId="3" type="noConversion"/>
  </si>
  <si>
    <t>TTL</t>
    <phoneticPr fontId="6" type="noConversion"/>
  </si>
  <si>
    <t>4. SMC 생산 확인</t>
    <phoneticPr fontId="10" type="noConversion"/>
  </si>
  <si>
    <t>온도
(℃)</t>
    <phoneticPr fontId="10" type="noConversion"/>
  </si>
  <si>
    <t>습도
(%)</t>
    <phoneticPr fontId="10" type="noConversion"/>
  </si>
  <si>
    <t>제품 폭
(mm)</t>
    <phoneticPr fontId="10" type="noConversion"/>
  </si>
  <si>
    <t>생산 속도
(m/min)</t>
    <phoneticPr fontId="10" type="noConversion"/>
  </si>
  <si>
    <t>D/B 1,2
(mm)</t>
    <phoneticPr fontId="10" type="noConversion"/>
  </si>
  <si>
    <t>CUTTER 
1/2 RPM</t>
    <phoneticPr fontId="10" type="noConversion"/>
  </si>
  <si>
    <r>
      <t>단중
(Kg/m</t>
    </r>
    <r>
      <rPr>
        <b/>
        <vertAlign val="superscript"/>
        <sz val="12"/>
        <rFont val="맑은 고딕"/>
        <family val="3"/>
        <charset val="129"/>
        <scheme val="minor"/>
      </rPr>
      <t>2</t>
    </r>
    <r>
      <rPr>
        <b/>
        <sz val="12"/>
        <rFont val="맑은 고딕"/>
        <family val="3"/>
        <charset val="129"/>
        <scheme val="minor"/>
      </rPr>
      <t>)</t>
    </r>
    <phoneticPr fontId="10" type="noConversion"/>
  </si>
  <si>
    <t>함침 정도
(%)</t>
    <phoneticPr fontId="10" type="noConversion"/>
  </si>
  <si>
    <t>총 중량
(Kg)</t>
    <phoneticPr fontId="10" type="noConversion"/>
  </si>
  <si>
    <t>실 중량
(Kg)</t>
    <phoneticPr fontId="10" type="noConversion"/>
  </si>
  <si>
    <t>말기점도
(PS/℃)</t>
    <phoneticPr fontId="10" type="noConversion"/>
  </si>
  <si>
    <t>비고</t>
    <phoneticPr fontId="10" type="noConversion"/>
  </si>
  <si>
    <t>1.5/1.5</t>
    <phoneticPr fontId="10" type="noConversion"/>
  </si>
  <si>
    <t>59/59</t>
    <phoneticPr fontId="10" type="noConversion"/>
  </si>
  <si>
    <t>4.6(5.06)</t>
    <phoneticPr fontId="10" type="noConversion"/>
  </si>
  <si>
    <t>TTL</t>
    <phoneticPr fontId="10" type="noConversion"/>
  </si>
  <si>
    <t>생산수율</t>
    <phoneticPr fontId="10" type="noConversion"/>
  </si>
  <si>
    <t>5. 유리섬유 체크</t>
    <phoneticPr fontId="10" type="noConversion"/>
  </si>
  <si>
    <t>6. 출고 전 최종 품질 확인</t>
    <phoneticPr fontId="10" type="noConversion"/>
  </si>
  <si>
    <t>유리 섬유 Lot</t>
    <phoneticPr fontId="10" type="noConversion"/>
  </si>
  <si>
    <t>CPIC</t>
    <phoneticPr fontId="10" type="noConversion"/>
  </si>
  <si>
    <t>WEIBO</t>
    <phoneticPr fontId="10" type="noConversion"/>
  </si>
  <si>
    <t>점검 항목</t>
    <phoneticPr fontId="10" type="noConversion"/>
  </si>
  <si>
    <t>관리 기준</t>
    <phoneticPr fontId="10" type="noConversion"/>
  </si>
  <si>
    <t>점검결과</t>
    <phoneticPr fontId="10" type="noConversion"/>
  </si>
  <si>
    <t>판정</t>
    <phoneticPr fontId="10" type="noConversion"/>
  </si>
  <si>
    <t>시트가장자리</t>
    <phoneticPr fontId="10" type="noConversion"/>
  </si>
  <si>
    <t>R/V 돌출 및 커팅불량 없을것</t>
    <phoneticPr fontId="10" type="noConversion"/>
  </si>
  <si>
    <t>롤 사용량 (Kg)</t>
    <phoneticPr fontId="10" type="noConversion"/>
  </si>
  <si>
    <t>시트 점착성</t>
    <phoneticPr fontId="10" type="noConversion"/>
  </si>
  <si>
    <t>필름을 벗길때 너무 끈적거리지 않은가?</t>
    <phoneticPr fontId="10" type="noConversion"/>
  </si>
  <si>
    <t>전체사용량 (Kg)</t>
    <phoneticPr fontId="10" type="noConversion"/>
  </si>
  <si>
    <t>표면 함침 상태</t>
    <phoneticPr fontId="10" type="noConversion"/>
  </si>
  <si>
    <t>육안상 함침이 미비한곳이 없는가?</t>
    <phoneticPr fontId="10" type="noConversion"/>
  </si>
  <si>
    <t>유리섬유 함량</t>
    <phoneticPr fontId="10" type="noConversion"/>
  </si>
  <si>
    <t>이물질 혼입</t>
    <phoneticPr fontId="10" type="noConversion"/>
  </si>
  <si>
    <t>금속 및 기타 이물질 혼입 여부</t>
    <phoneticPr fontId="10" type="noConversion"/>
  </si>
  <si>
    <t>포장</t>
    <phoneticPr fontId="10" type="noConversion"/>
  </si>
  <si>
    <t>포장 상태는 양호한가?</t>
    <phoneticPr fontId="10" type="noConversion"/>
  </si>
  <si>
    <t>7. 특이사항 및 조치</t>
    <phoneticPr fontId="10" type="noConversion"/>
  </si>
  <si>
    <t>SMC 일일 생산일지</t>
  </si>
  <si>
    <t>파란 글씨(노란 칸) = 직접 입력  |  초록 글씨 = 자동 연동(설정값 계산 시트)  |  검정 글씨 = 자동 계산</t>
  </si>
  <si>
    <t>1. 기본사항</t>
  </si>
  <si>
    <t>품명</t>
  </si>
  <si>
    <t>SMC 물탱크용</t>
  </si>
  <si>
    <t>제품 Lot</t>
  </si>
  <si>
    <t>생산 Batch</t>
  </si>
  <si>
    <t>날씨</t>
  </si>
  <si>
    <t>작업인원</t>
  </si>
  <si>
    <t>생산시간</t>
  </si>
  <si>
    <t>2. 원재료 투입량 (Lot 포함)</t>
  </si>
  <si>
    <t>3. 점도 확인 (회차별)</t>
  </si>
  <si>
    <t>No</t>
  </si>
  <si>
    <t>품목</t>
  </si>
  <si>
    <t>규격</t>
  </si>
  <si>
    <t>Lot No.</t>
  </si>
  <si>
    <t>사용량
(Kg)</t>
  </si>
  <si>
    <t>총사용량
(Kg)</t>
  </si>
  <si>
    <t>실사용량
(Kg)</t>
  </si>
  <si>
    <t>회차</t>
  </si>
  <si>
    <t>초기점도
(PS/℃)</t>
  </si>
  <si>
    <t>5분</t>
  </si>
  <si>
    <t>10분</t>
  </si>
  <si>
    <t>15분</t>
  </si>
  <si>
    <t>20분</t>
  </si>
  <si>
    <t>말기점도
(PS/℃)</t>
  </si>
  <si>
    <t>1</t>
  </si>
  <si>
    <t>불포화수지</t>
  </si>
  <si>
    <t>SC-637S</t>
  </si>
  <si>
    <t>2</t>
  </si>
  <si>
    <t>저수축제</t>
  </si>
  <si>
    <t>PS40</t>
  </si>
  <si>
    <t>3</t>
  </si>
  <si>
    <t>희석제</t>
  </si>
  <si>
    <t>SM</t>
  </si>
  <si>
    <t>3-2</t>
  </si>
  <si>
    <t>4</t>
  </si>
  <si>
    <t>K972</t>
  </si>
  <si>
    <t>5</t>
  </si>
  <si>
    <t>K996</t>
  </si>
  <si>
    <t>6</t>
  </si>
  <si>
    <t>중합금지제</t>
  </si>
  <si>
    <t>CBA109N</t>
  </si>
  <si>
    <t>7</t>
  </si>
  <si>
    <t>경화제</t>
  </si>
  <si>
    <t>TBPB</t>
  </si>
  <si>
    <t>8</t>
  </si>
  <si>
    <t>초기증점조절제</t>
  </si>
  <si>
    <t>CBA308S</t>
  </si>
  <si>
    <t>9</t>
  </si>
  <si>
    <t>FHP</t>
  </si>
  <si>
    <t>10</t>
  </si>
  <si>
    <t>이형제</t>
  </si>
  <si>
    <t>HI-FLOW</t>
  </si>
  <si>
    <t>11</t>
  </si>
  <si>
    <t>충진제</t>
  </si>
  <si>
    <t>CaCO3</t>
  </si>
  <si>
    <t>12</t>
  </si>
  <si>
    <t>증점제</t>
  </si>
  <si>
    <t>MGO-813</t>
  </si>
  <si>
    <t>13</t>
  </si>
  <si>
    <t>조색제</t>
  </si>
  <si>
    <t>GRAY(9098)</t>
  </si>
  <si>
    <t>14</t>
  </si>
  <si>
    <t>유리섬유</t>
  </si>
  <si>
    <t>4800TEX</t>
  </si>
  <si>
    <t>TTL</t>
  </si>
  <si>
    <t>4. 유리섬유 함량 체크</t>
  </si>
  <si>
    <t>유리섬유 Lot</t>
  </si>
  <si>
    <t>항목</t>
  </si>
  <si>
    <t>목표(자동)</t>
  </si>
  <si>
    <t>실측</t>
  </si>
  <si>
    <t>단위</t>
  </si>
  <si>
    <t>롤 사용량(Kg)</t>
  </si>
  <si>
    <t>컴파운드(페이스트)</t>
  </si>
  <si>
    <t>Kg/min</t>
  </si>
  <si>
    <t>전체사용량(Kg)</t>
  </si>
  <si>
    <t>함량(%)</t>
  </si>
  <si>
    <t>g/min</t>
  </si>
  <si>
    <t>6. 생산 확인 (Doctor Box 높이 · 유리섬유 컷터 RPM · 단중 · 생산중량)</t>
  </si>
  <si>
    <t>제품 폭
(mm)</t>
  </si>
  <si>
    <t>생산 속도
(m/min)</t>
  </si>
  <si>
    <t>D/B 1
(mm)</t>
  </si>
  <si>
    <t>D/B 2
(mm)</t>
  </si>
  <si>
    <t>컷터1
RPM</t>
  </si>
  <si>
    <t>컷터2
RPM</t>
  </si>
  <si>
    <t>단중
(Kg/㎡)</t>
  </si>
  <si>
    <t>함침정도
(%)</t>
  </si>
  <si>
    <t>총중량
(Kg)</t>
  </si>
  <si>
    <t>실중량
(Kg)</t>
  </si>
  <si>
    <t>비고</t>
  </si>
  <si>
    <t>생산수율</t>
  </si>
  <si>
    <t>SMC 설정값 계산 (Doctor Blade 토출량 · 갭 · 컷터 RPM)</t>
  </si>
  <si>
    <t>파란 글씨(노란 칸) = 직접 입력  |  초록 글씨 = 작업일지에서 자동으로 가져옴  |  검정 글씨 = 자동 계산.  원본: SMC Doctor Blade Flow Rate Calculator</t>
  </si>
  <si>
    <t>핵심 결과  (토출 총량은 작업일지 4번 토출량 확인 표에 자동 반영됩니다)</t>
  </si>
  <si>
    <t>페이스트 토출 총량</t>
  </si>
  <si>
    <t>컷터 1 / 2 RPM</t>
  </si>
  <si>
    <t>Doctor Box 갭 (각각)</t>
  </si>
  <si>
    <t>1. 작업일지에서 가져온 값 (작업일지 4번 표의 첫 줄)</t>
  </si>
  <si>
    <t>라인 속도</t>
  </si>
  <si>
    <t>m/min</t>
  </si>
  <si>
    <t>작업일지 「생산 속도」 칸</t>
  </si>
  <si>
    <t>제품 폭</t>
  </si>
  <si>
    <t>mm</t>
  </si>
  <si>
    <t>작업일지 「제품 폭」 칸</t>
  </si>
  <si>
    <t>유리섬유 함량</t>
  </si>
  <si>
    <t>작업일지 원재료 표 유리섬유 행의 비율</t>
  </si>
  <si>
    <t>2. 설정 입력</t>
  </si>
  <si>
    <t>목표 단중</t>
  </si>
  <si>
    <t>Kg/m²</t>
  </si>
  <si>
    <t>작업일지 「단중」과 같은 값 (예: 4.6)</t>
  </si>
  <si>
    <t>블레이드 두께 (L)</t>
  </si>
  <si>
    <t>페이스트 점도 (η)</t>
  </si>
  <si>
    <t>cps</t>
  </si>
  <si>
    <t>페이스트 높이 (H)</t>
  </si>
  <si>
    <t>3. 비중  (작업일지 배합표 사용량 기준 · 비중 값은 배합.xlsx 원가계산서 실측치)</t>
  </si>
  <si>
    <t>사용량 (Kg)</t>
  </si>
  <si>
    <t>비중 (g/cm³)</t>
  </si>
  <si>
    <t>부피 (L)</t>
  </si>
  <si>
    <t>배합.xlsx 불포화수지 비중</t>
  </si>
  <si>
    <t>배합.xlsx 저수축제(PS40) 비중</t>
  </si>
  <si>
    <t>배합.xlsx 희석제(SM) 비중</t>
  </si>
  <si>
    <t>배합.xlsx K972 비중</t>
  </si>
  <si>
    <t>배합.xlsx K996 비중</t>
  </si>
  <si>
    <t>배합.xlsx CBA109N 비중</t>
  </si>
  <si>
    <t>배합.xlsx T-BPB 비중</t>
  </si>
  <si>
    <t>배합.xlsx상 CBA-307F(초기증점조절제 동일 역할) 비중</t>
  </si>
  <si>
    <t>배합.xlsx FHP05040 비중</t>
  </si>
  <si>
    <t>배합.xlsx상 ZN-ST(이형제 동일 역할) 비중</t>
  </si>
  <si>
    <t>배합.xlsx CaCO3 비중</t>
  </si>
  <si>
    <t>배합.xlsx상 CBU-813(증점제 동일 역할) 비중</t>
  </si>
  <si>
    <t>배합.xlsx 조색제 비중</t>
  </si>
  <si>
    <t>합계 (유리섬유 제외)</t>
  </si>
  <si>
    <t>페이스트 비중 (유리섬유 제외)</t>
  </si>
  <si>
    <t>g/cm³</t>
  </si>
  <si>
    <t>배합.xlsx 「컴파운드 비중」과 같은 개념</t>
  </si>
  <si>
    <t>배합.xlsx 유리섬유 비중</t>
  </si>
  <si>
    <t>SMC 전체 비중 (유리섬유 포함)</t>
  </si>
  <si>
    <t>배합.xlsx 「전체 비중」과 같은 개념 (참고: 배합.xlsx 물탱크 배합 자체 계산값 1.8473)</t>
  </si>
  <si>
    <t>4. Doctor Blade 토출량 · 갭 계산</t>
  </si>
  <si>
    <t>SMC 시트 중량 (길이 1m당)</t>
  </si>
  <si>
    <t>g/m</t>
  </si>
  <si>
    <t>단중 × 폭</t>
  </si>
  <si>
    <t>페이스트 중량 (길이 1m당)</t>
  </si>
  <si>
    <t>유리섬유 제외</t>
  </si>
  <si>
    <t>유리섬유 중량 (길이 1m당)</t>
  </si>
  <si>
    <t>★ 페이스트 토출 총량</t>
  </si>
  <si>
    <t>→ 작업일지 토출 총량으로 연결</t>
  </si>
  <si>
    <t>페이스트 체적 유량 (Q)</t>
  </si>
  <si>
    <t>L/min</t>
  </si>
  <si>
    <t>폭 1m당 필요 유량 (q)</t>
  </si>
  <si>
    <t>m²/s</t>
  </si>
  <si>
    <t>정수압 (Δp = ρ·g·H)</t>
  </si>
  <si>
    <t>Pa</t>
  </si>
  <si>
    <t>g = 9.81</t>
  </si>
  <si>
    <t>압력 유동 계수 A = Δp / (12·η·L)</t>
  </si>
  <si>
    <t>1/(m·s)</t>
  </si>
  <si>
    <t>h³ 항 계수</t>
  </si>
  <si>
    <t>끌림 유동 계수 B = V₀ / 2</t>
  </si>
  <si>
    <t>m/s</t>
  </si>
  <si>
    <t>h 항 계수</t>
  </si>
  <si>
    <t>풀이 중간값 1</t>
  </si>
  <si>
    <t>A·h³ + B·h = q 를 카르다노 공식으로 풀이</t>
  </si>
  <si>
    <t>풀이 중간값 2</t>
  </si>
  <si>
    <t>Gap Height (h)</t>
  </si>
  <si>
    <t>원본 매크로(Goal Seek)가 찾던 값</t>
  </si>
  <si>
    <t>Doctor Box 1 / 2 갭 (각각)</t>
  </si>
  <si>
    <t>갭을 2개 박스에 균등 분배</t>
  </si>
  <si>
    <t>검증: 갭으로 역산한 단중</t>
  </si>
  <si>
    <t>목표 단중과 같아야 정상</t>
  </si>
  <si>
    <t>5. 유리섬유 컷터 RPM</t>
  </si>
  <si>
    <t>글라스 TEX</t>
  </si>
  <si>
    <t>TEX (g/km)</t>
  </si>
  <si>
    <t>목록: 2400 / 4400 / 4800 / 9600</t>
  </si>
  <si>
    <t>컷팅 길이</t>
  </si>
  <si>
    <t>inch</t>
  </si>
  <si>
    <t>목록: 0.5 / 1 / 2</t>
  </si>
  <si>
    <t>1회 절단당 로빙 1본 유리 중량</t>
  </si>
  <si>
    <t>g</t>
  </si>
  <si>
    <t>TEX × 절단 길이(mm) ÷ 1,000,000</t>
  </si>
  <si>
    <t>구분</t>
  </si>
  <si>
    <t>사용 (ON/OFF)</t>
  </si>
  <si>
    <t>공급 로빙 수</t>
  </si>
  <si>
    <t>컷터 블레이드 수</t>
  </si>
  <si>
    <t>유리 중량 (g/m)</t>
  </si>
  <si>
    <t>RPM</t>
  </si>
  <si>
    <t>1번 컷터</t>
  </si>
  <si>
    <t>ON</t>
  </si>
  <si>
    <t>기본값: 로빙 32 / 블레이드 24</t>
  </si>
  <si>
    <t>2번 컷터</t>
  </si>
  <si>
    <t>※ 원본 계산기의 3번 다이렉트 로빙 / 4번 직조 로빙은 (기본 OFF, 작업일지에 해당 항목 없음) 이 시트에서는 제외했습니다.</t>
  </si>
  <si>
    <t>6. 배합.xlsx 연동 — 배합표 권장값 vs 작업일지 실제값</t>
  </si>
  <si>
    <t>배합 선택</t>
  </si>
  <si>
    <t>물탱크</t>
  </si>
  <si>
    <t>배합.xlsx 「물탱크 배합」 시트의 4개 배합(물탱크/물탱크2/YSACC1/YSACC2) 중 선택</t>
  </si>
  <si>
    <t>선택 배합의 수지 phr (자동)</t>
  </si>
  <si>
    <t>phr</t>
  </si>
  <si>
    <t>배율 (작업일지 실제 수지 ÷ 배합표 수지phr, 자동)</t>
  </si>
  <si>
    <t>배</t>
  </si>
  <si>
    <t>저수축제(PS) 농도 보정계수</t>
  </si>
  <si>
    <t>= 실사용 PS40 ÷ 배합표 기준 PS30</t>
  </si>
  <si>
    <t>배합지시서 메모 "112.5 = 150×0.75" 기준 (30/40)</t>
  </si>
  <si>
    <t>배합표 phr(선택)</t>
  </si>
  <si>
    <t>권장 사용량 (Kg)</t>
  </si>
  <si>
    <t>작업일지 실제 (Kg)</t>
  </si>
  <si>
    <t>차이 (Kg)</t>
  </si>
  <si>
    <t>불포화수지 (SC-637S)</t>
  </si>
  <si>
    <t>저수축제 (PS40)</t>
  </si>
  <si>
    <t>PS 농도 보정계수 적용</t>
  </si>
  <si>
    <t>희석제 (기본) (SM)</t>
  </si>
  <si>
    <t>추가분(3-2행)은 아래 별도 표시</t>
  </si>
  <si>
    <t>K972 (K972)</t>
  </si>
  <si>
    <t>K996 (K996)</t>
  </si>
  <si>
    <t>CBA109N (CBA109N)</t>
  </si>
  <si>
    <t>TBPB (TBPB)</t>
  </si>
  <si>
    <t>초기증점조절제 (CBA308S)</t>
  </si>
  <si>
    <t>배합표 메모: "초기증점조절제 1.3"</t>
  </si>
  <si>
    <t>저수축제 (FHP)</t>
  </si>
  <si>
    <t>이형제 (HI-FLOW)</t>
  </si>
  <si>
    <t>충진제 (CaCO3)</t>
  </si>
  <si>
    <t>증점제 (MGO-813)</t>
  </si>
  <si>
    <t>배합표 메모: "증점제는 2, 2.5파트로 한다"</t>
  </si>
  <si>
    <t>조색제 (GRAY(9098))</t>
  </si>
  <si>
    <t>유리섬유 (4800TEX)</t>
  </si>
  <si>
    <t>희석제 (SM, 3-2행 · 배합표에 없는 수동 추가분)</t>
  </si>
  <si>
    <t>-</t>
  </si>
  <si>
    <t>PS40 사용 보정용 추가 희석제 (배합표 메모: "SM 3파트 추가"). 배합표 phr에는 없어 자동계산하지 않음 — 수동 확인 필요</t>
  </si>
  <si>
    <t>희석제 (SM) 합계 비교</t>
  </si>
  <si>
    <t>권장(기본 SM만) vs 실제(기본+추가분) 비교</t>
  </si>
  <si>
    <t>※ 배합.xlsx 자체 메모: "증점제는 2,2.5파트로 한다" / "초기증점조절제 1.3" / "SM 3파트추가" — 현장에서 배합표 기준값을 일부 조정해 쓰고 있다는 근거이므로, 위 표의 "차이"가 있다고 바로 틀린 것은 아닙니다.</t>
  </si>
  <si>
    <t>※ 배합.xlsx를 실시간으로 연결하지는 않았습니다. 파일 경로가 바뀌거나 배합.xlsx가 닫혀 있으면 깨지는 외부 링크 방식(이전에 작업일지에서 제거한 문제와 동일)이라, 배합표의 값을 이 시트에 옮겨 두었습니다. 배합.xlsx의 배합(phr)이 바뀌면 알려주시면 이 표도 갱신하겠습니다.</t>
  </si>
  <si>
    <t>목표 생산중량</t>
    <phoneticPr fontId="3" type="noConversion"/>
  </si>
  <si>
    <t>NO</t>
    <phoneticPr fontId="3" type="noConversion"/>
  </si>
  <si>
    <t>※ 비율 = 증점제·조색제 사용량 ÷ 전체 사용량</t>
    <phoneticPr fontId="3" type="noConversion"/>
  </si>
  <si>
    <t>온도℃</t>
    <phoneticPr fontId="3" type="noConversion"/>
  </si>
  <si>
    <t>습도%</t>
    <phoneticPr fontId="3" type="noConversion"/>
  </si>
  <si>
    <t>↓ 권장값 (설정값 계산 시트 연동)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</si>
</sst>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0.0_);[Red]\(0.0\)"/>
    <numFmt numFmtId="179" formatCode="#,##0.00_);[Red]\(#,##0.00\)"/>
    <numFmt numFmtId="180" formatCode="0.0%"/>
    <numFmt numFmtId="181" formatCode="_-* #,##0.0_-;\-* #,##0.0_-;_-* &quot;-&quot;_-;_-@_-"/>
    <numFmt numFmtId="182" formatCode="0.0000"/>
    <numFmt numFmtId="183" formatCode="0.0"/>
    <numFmt numFmtId="184" formatCode="#,##0.0_);[Red]\(#,##0.0\)"/>
    <numFmt numFmtId="185" formatCode="#,##0_);[Red]\(#,##0\)"/>
    <numFmt numFmtId="186" formatCode="#,##0_ "/>
    <numFmt numFmtId="187" formatCode="&quot;총 &quot;0.0&quot; Kg/min&quot;"/>
    <numFmt numFmtId="188" formatCode="0.0&quot; Kg/min&quot;"/>
    <numFmt numFmtId="189" formatCode="0.00&quot; mm&quot;"/>
    <numFmt numFmtId="190" formatCode="#,##0.0"/>
    <numFmt numFmtId="191" formatCode="0.000"/>
    <numFmt numFmtId="192" formatCode="0.000E+00"/>
    <numFmt numFmtId="193" formatCode="0.00000"/>
    <numFmt numFmtId="194" formatCode="#,##0.0&quot; Kg&quot;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 val="double"/>
      <sz val="28"/>
      <name val="맑은 고딕"/>
      <family val="3"/>
      <charset val="129"/>
      <scheme val="major"/>
    </font>
    <font>
      <b/>
      <u val="double"/>
      <sz val="36"/>
      <name val="맑은 고딕"/>
      <family val="3"/>
      <charset val="129"/>
      <scheme val="maj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595959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1"/>
      <color rgb="FF595959"/>
      <name val="맑은 고딕"/>
      <family val="3"/>
      <charset val="129"/>
    </font>
    <font>
      <sz val="12"/>
      <color rgb="FF008000"/>
      <name val="맑은 고딕"/>
      <family val="3"/>
      <charset val="129"/>
    </font>
    <font>
      <sz val="1"/>
      <color rgb="FF00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 applyAlignment="1"/>
    <xf numFmtId="0" fontId="7" fillId="0" borderId="0" xfId="1" applyFont="1" applyAlignment="1">
      <alignment shrinkToFit="1"/>
    </xf>
    <xf numFmtId="0" fontId="2" fillId="0" borderId="0" xfId="1" applyFont="1" applyAlignment="1">
      <alignment horizontal="center" vertical="center"/>
    </xf>
    <xf numFmtId="0" fontId="9" fillId="3" borderId="2" xfId="1" applyFont="1" applyFill="1" applyBorder="1" applyAlignment="1">
      <alignment horizontal="left" vertical="center" shrinkToFit="1"/>
    </xf>
    <xf numFmtId="0" fontId="9" fillId="3" borderId="0" xfId="1" applyFont="1" applyFill="1" applyAlignment="1">
      <alignment horizontal="left" vertical="center" shrinkToFit="1"/>
    </xf>
    <xf numFmtId="0" fontId="2" fillId="3" borderId="0" xfId="1" applyFont="1" applyFill="1">
      <alignment vertical="center"/>
    </xf>
    <xf numFmtId="0" fontId="11" fillId="0" borderId="0" xfId="1" applyFont="1" applyAlignment="1">
      <alignment vertical="center" shrinkToFit="1"/>
    </xf>
    <xf numFmtId="0" fontId="12" fillId="3" borderId="0" xfId="1" applyFont="1" applyFill="1" applyAlignment="1">
      <alignment vertical="center" shrinkToFit="1"/>
    </xf>
    <xf numFmtId="0" fontId="11" fillId="0" borderId="15" xfId="1" applyFont="1" applyBorder="1" applyAlignment="1">
      <alignment vertical="center" shrinkToFit="1"/>
    </xf>
    <xf numFmtId="180" fontId="2" fillId="0" borderId="0" xfId="1" applyNumberFormat="1" applyFont="1">
      <alignment vertical="center"/>
    </xf>
    <xf numFmtId="0" fontId="13" fillId="0" borderId="0" xfId="1" applyFont="1" applyAlignment="1">
      <alignment vertical="center" shrinkToFit="1"/>
    </xf>
    <xf numFmtId="182" fontId="2" fillId="0" borderId="0" xfId="1" applyNumberFormat="1" applyFont="1">
      <alignment vertical="center"/>
    </xf>
    <xf numFmtId="0" fontId="13" fillId="0" borderId="2" xfId="1" applyFont="1" applyBorder="1" applyAlignment="1">
      <alignment vertical="center" shrinkToFit="1"/>
    </xf>
    <xf numFmtId="186" fontId="2" fillId="0" borderId="27" xfId="1" applyNumberFormat="1" applyFont="1" applyBorder="1" applyAlignment="1">
      <alignment horizontal="right" vertical="center"/>
    </xf>
    <xf numFmtId="0" fontId="2" fillId="0" borderId="0" xfId="1" applyFont="1" applyAlignment="1">
      <alignment vertical="center" wrapText="1"/>
    </xf>
    <xf numFmtId="186" fontId="13" fillId="0" borderId="27" xfId="1" applyNumberFormat="1" applyFont="1" applyBorder="1" applyAlignment="1">
      <alignment horizontal="right" vertical="center" shrinkToFit="1"/>
    </xf>
    <xf numFmtId="0" fontId="13" fillId="0" borderId="27" xfId="1" applyFont="1" applyBorder="1" applyAlignment="1">
      <alignment vertical="center" shrinkToFit="1"/>
    </xf>
    <xf numFmtId="0" fontId="2" fillId="0" borderId="27" xfId="1" applyFont="1" applyBorder="1">
      <alignment vertical="center"/>
    </xf>
    <xf numFmtId="0" fontId="2" fillId="0" borderId="32" xfId="1" applyFont="1" applyBorder="1">
      <alignment vertical="center"/>
    </xf>
    <xf numFmtId="0" fontId="8" fillId="3" borderId="0" xfId="1" applyFont="1" applyFill="1" applyAlignment="1">
      <alignment vertical="center" shrinkToFit="1"/>
    </xf>
    <xf numFmtId="10" fontId="8" fillId="3" borderId="0" xfId="1" applyNumberFormat="1" applyFont="1" applyFill="1" applyAlignment="1">
      <alignment vertical="center" shrinkToFit="1"/>
    </xf>
    <xf numFmtId="0" fontId="8" fillId="0" borderId="0" xfId="1" applyFont="1" applyAlignment="1">
      <alignment horizontal="center" vertical="center" shrinkToFit="1"/>
    </xf>
    <xf numFmtId="10" fontId="11" fillId="0" borderId="0" xfId="1" applyNumberFormat="1" applyFont="1" applyAlignment="1">
      <alignment horizontal="center" vertical="center"/>
    </xf>
    <xf numFmtId="0" fontId="8" fillId="0" borderId="0" xfId="1" applyFont="1" applyAlignment="1">
      <alignment vertical="center" shrinkToFit="1"/>
    </xf>
    <xf numFmtId="184" fontId="8" fillId="0" borderId="0" xfId="1" applyNumberFormat="1" applyFont="1" applyAlignment="1">
      <alignment vertical="center" shrinkToFit="1"/>
    </xf>
    <xf numFmtId="0" fontId="18" fillId="0" borderId="37" xfId="0" applyFont="1" applyBorder="1" applyAlignment="1">
      <alignment horizontal="left" vertical="center"/>
    </xf>
    <xf numFmtId="0" fontId="19" fillId="9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/>
    </xf>
    <xf numFmtId="0" fontId="22" fillId="10" borderId="37" xfId="0" applyFont="1" applyFill="1" applyBorder="1" applyAlignment="1">
      <alignment horizontal="center" vertical="center"/>
    </xf>
    <xf numFmtId="0" fontId="23" fillId="0" borderId="37" xfId="0" applyFont="1" applyBorder="1" applyAlignment="1">
      <alignment horizontal="left" vertical="center"/>
    </xf>
    <xf numFmtId="188" fontId="24" fillId="11" borderId="38" xfId="0" applyNumberFormat="1" applyFont="1" applyFill="1" applyBorder="1" applyAlignment="1">
      <alignment horizontal="center" vertical="center"/>
    </xf>
    <xf numFmtId="0" fontId="23" fillId="0" borderId="37" xfId="0" applyFont="1" applyBorder="1" applyAlignment="1">
      <alignment horizontal="right" vertical="center"/>
    </xf>
    <xf numFmtId="3" fontId="23" fillId="0" borderId="37" xfId="0" applyNumberFormat="1" applyFont="1" applyBorder="1" applyAlignment="1">
      <alignment horizontal="right" vertical="center"/>
    </xf>
    <xf numFmtId="180" fontId="23" fillId="0" borderId="37" xfId="0" applyNumberFormat="1" applyFont="1" applyBorder="1" applyAlignment="1">
      <alignment horizontal="right" vertical="center"/>
    </xf>
    <xf numFmtId="0" fontId="22" fillId="10" borderId="37" xfId="0" applyFont="1" applyFill="1" applyBorder="1" applyAlignment="1">
      <alignment horizontal="right" vertical="center"/>
    </xf>
    <xf numFmtId="3" fontId="22" fillId="10" borderId="37" xfId="0" applyNumberFormat="1" applyFont="1" applyFill="1" applyBorder="1" applyAlignment="1">
      <alignment horizontal="right" vertical="center"/>
    </xf>
    <xf numFmtId="190" fontId="23" fillId="0" borderId="37" xfId="0" applyNumberFormat="1" applyFont="1" applyBorder="1" applyAlignment="1">
      <alignment horizontal="right" vertical="center"/>
    </xf>
    <xf numFmtId="191" fontId="22" fillId="10" borderId="37" xfId="0" applyNumberFormat="1" applyFont="1" applyFill="1" applyBorder="1" applyAlignment="1">
      <alignment horizontal="right" vertical="center"/>
    </xf>
    <xf numFmtId="4" fontId="18" fillId="0" borderId="37" xfId="0" applyNumberFormat="1" applyFont="1" applyBorder="1" applyAlignment="1">
      <alignment horizontal="right" vertical="center"/>
    </xf>
    <xf numFmtId="190" fontId="19" fillId="0" borderId="37" xfId="0" applyNumberFormat="1" applyFont="1" applyBorder="1" applyAlignment="1">
      <alignment horizontal="right" vertical="center"/>
    </xf>
    <xf numFmtId="4" fontId="19" fillId="0" borderId="37" xfId="0" applyNumberFormat="1" applyFont="1" applyBorder="1" applyAlignment="1">
      <alignment horizontal="right" vertical="center"/>
    </xf>
    <xf numFmtId="182" fontId="19" fillId="0" borderId="37" xfId="0" applyNumberFormat="1" applyFont="1" applyBorder="1" applyAlignment="1">
      <alignment horizontal="right" vertical="center"/>
    </xf>
    <xf numFmtId="0" fontId="19" fillId="11" borderId="37" xfId="0" applyFont="1" applyFill="1" applyBorder="1" applyAlignment="1">
      <alignment horizontal="left" vertical="center"/>
    </xf>
    <xf numFmtId="182" fontId="19" fillId="11" borderId="37" xfId="0" applyNumberFormat="1" applyFont="1" applyFill="1" applyBorder="1" applyAlignment="1">
      <alignment horizontal="right" vertical="center"/>
    </xf>
    <xf numFmtId="190" fontId="18" fillId="0" borderId="37" xfId="0" applyNumberFormat="1" applyFont="1" applyBorder="1" applyAlignment="1">
      <alignment horizontal="right" vertical="center"/>
    </xf>
    <xf numFmtId="2" fontId="19" fillId="11" borderId="37" xfId="0" applyNumberFormat="1" applyFont="1" applyFill="1" applyBorder="1" applyAlignment="1">
      <alignment horizontal="right" vertical="center"/>
    </xf>
    <xf numFmtId="2" fontId="18" fillId="0" borderId="37" xfId="0" applyNumberFormat="1" applyFont="1" applyBorder="1" applyAlignment="1">
      <alignment horizontal="right" vertical="center"/>
    </xf>
    <xf numFmtId="192" fontId="18" fillId="0" borderId="37" xfId="0" applyNumberFormat="1" applyFont="1" applyBorder="1" applyAlignment="1">
      <alignment horizontal="right" vertical="center"/>
    </xf>
    <xf numFmtId="182" fontId="18" fillId="0" borderId="37" xfId="0" applyNumberFormat="1" applyFont="1" applyBorder="1" applyAlignment="1">
      <alignment horizontal="right" vertical="center"/>
    </xf>
    <xf numFmtId="191" fontId="19" fillId="11" borderId="37" xfId="0" applyNumberFormat="1" applyFont="1" applyFill="1" applyBorder="1" applyAlignment="1">
      <alignment horizontal="right" vertical="center"/>
    </xf>
    <xf numFmtId="191" fontId="18" fillId="0" borderId="37" xfId="0" applyNumberFormat="1" applyFont="1" applyBorder="1" applyAlignment="1">
      <alignment horizontal="right" vertical="center"/>
    </xf>
    <xf numFmtId="193" fontId="18" fillId="0" borderId="37" xfId="0" applyNumberFormat="1" applyFont="1" applyBorder="1" applyAlignment="1">
      <alignment horizontal="right" vertical="center"/>
    </xf>
    <xf numFmtId="183" fontId="19" fillId="11" borderId="37" xfId="0" applyNumberFormat="1" applyFont="1" applyFill="1" applyBorder="1" applyAlignment="1">
      <alignment horizontal="center" vertical="center"/>
    </xf>
    <xf numFmtId="183" fontId="18" fillId="0" borderId="37" xfId="0" applyNumberFormat="1" applyFont="1" applyBorder="1" applyAlignment="1">
      <alignment horizontal="right" vertical="center"/>
    </xf>
    <xf numFmtId="2" fontId="22" fillId="10" borderId="37" xfId="0" applyNumberFormat="1" applyFont="1" applyFill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7" xfId="0" applyFont="1" applyBorder="1" applyAlignment="1">
      <alignment horizontal="left" vertical="center"/>
    </xf>
    <xf numFmtId="0" fontId="26" fillId="9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28" fillId="10" borderId="37" xfId="0" applyFont="1" applyFill="1" applyBorder="1" applyAlignment="1">
      <alignment horizontal="center" vertical="center"/>
    </xf>
    <xf numFmtId="0" fontId="28" fillId="10" borderId="37" xfId="0" applyFont="1" applyFill="1" applyBorder="1" applyAlignment="1">
      <alignment horizontal="right" vertical="center"/>
    </xf>
    <xf numFmtId="183" fontId="28" fillId="10" borderId="37" xfId="0" applyNumberFormat="1" applyFont="1" applyFill="1" applyBorder="1" applyAlignment="1">
      <alignment horizontal="right" vertical="center"/>
    </xf>
    <xf numFmtId="0" fontId="25" fillId="0" borderId="37" xfId="0" applyFont="1" applyBorder="1" applyAlignment="1">
      <alignment horizontal="center" vertical="center"/>
    </xf>
    <xf numFmtId="4" fontId="28" fillId="10" borderId="37" xfId="0" applyNumberFormat="1" applyFont="1" applyFill="1" applyBorder="1" applyAlignment="1">
      <alignment horizontal="right" vertical="center"/>
    </xf>
    <xf numFmtId="4" fontId="25" fillId="0" borderId="37" xfId="0" applyNumberFormat="1" applyFont="1" applyBorder="1" applyAlignment="1">
      <alignment horizontal="right" vertical="center"/>
    </xf>
    <xf numFmtId="4" fontId="26" fillId="0" borderId="37" xfId="0" applyNumberFormat="1" applyFont="1" applyBorder="1" applyAlignment="1">
      <alignment horizontal="right" vertical="center"/>
    </xf>
    <xf numFmtId="2" fontId="33" fillId="0" borderId="37" xfId="0" applyNumberFormat="1" applyFont="1" applyBorder="1" applyAlignment="1">
      <alignment horizontal="right" vertical="center"/>
    </xf>
    <xf numFmtId="2" fontId="28" fillId="10" borderId="37" xfId="0" applyNumberFormat="1" applyFont="1" applyFill="1" applyBorder="1" applyAlignment="1">
      <alignment horizontal="right" vertical="center"/>
    </xf>
    <xf numFmtId="183" fontId="33" fillId="0" borderId="37" xfId="0" applyNumberFormat="1" applyFont="1" applyBorder="1" applyAlignment="1">
      <alignment horizontal="right" vertical="center"/>
    </xf>
    <xf numFmtId="3" fontId="28" fillId="10" borderId="37" xfId="0" applyNumberFormat="1" applyFont="1" applyFill="1" applyBorder="1" applyAlignment="1">
      <alignment horizontal="right" vertical="center"/>
    </xf>
    <xf numFmtId="190" fontId="28" fillId="10" borderId="37" xfId="0" applyNumberFormat="1" applyFont="1" applyFill="1" applyBorder="1" applyAlignment="1">
      <alignment horizontal="right" vertical="center"/>
    </xf>
    <xf numFmtId="191" fontId="28" fillId="10" borderId="37" xfId="0" applyNumberFormat="1" applyFont="1" applyFill="1" applyBorder="1" applyAlignment="1">
      <alignment horizontal="right" vertical="center"/>
    </xf>
    <xf numFmtId="190" fontId="26" fillId="0" borderId="37" xfId="0" applyNumberFormat="1" applyFont="1" applyBorder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1" fillId="8" borderId="37" xfId="0" applyFont="1" applyFill="1" applyBorder="1">
      <alignment vertical="center"/>
    </xf>
    <xf numFmtId="0" fontId="25" fillId="0" borderId="39" xfId="0" applyFont="1" applyBorder="1" applyAlignment="1">
      <alignment horizontal="left" vertical="center"/>
    </xf>
    <xf numFmtId="4" fontId="28" fillId="10" borderId="42" xfId="0" applyNumberFormat="1" applyFont="1" applyFill="1" applyBorder="1" applyAlignment="1">
      <alignment horizontal="right" vertical="center"/>
    </xf>
    <xf numFmtId="0" fontId="25" fillId="0" borderId="41" xfId="0" applyFont="1" applyBorder="1" applyAlignment="1">
      <alignment horizontal="left" vertical="center"/>
    </xf>
    <xf numFmtId="190" fontId="26" fillId="0" borderId="39" xfId="0" applyNumberFormat="1" applyFont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8" borderId="37" xfId="0" applyFont="1" applyFill="1" applyBorder="1" applyAlignment="1">
      <alignment horizontal="left" vertical="center"/>
    </xf>
    <xf numFmtId="0" fontId="28" fillId="10" borderId="37" xfId="0" applyFont="1" applyFill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/>
    </xf>
    <xf numFmtId="194" fontId="28" fillId="10" borderId="39" xfId="0" applyNumberFormat="1" applyFont="1" applyFill="1" applyBorder="1" applyAlignment="1">
      <alignment horizontal="center" vertical="center"/>
    </xf>
    <xf numFmtId="194" fontId="28" fillId="10" borderId="40" xfId="0" applyNumberFormat="1" applyFont="1" applyFill="1" applyBorder="1" applyAlignment="1">
      <alignment horizontal="center" vertical="center"/>
    </xf>
    <xf numFmtId="194" fontId="28" fillId="10" borderId="41" xfId="0" applyNumberFormat="1" applyFont="1" applyFill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6" fillId="9" borderId="37" xfId="0" applyFont="1" applyFill="1" applyBorder="1" applyAlignment="1">
      <alignment horizontal="center" vertical="center" wrapText="1"/>
    </xf>
    <xf numFmtId="0" fontId="28" fillId="10" borderId="39" xfId="0" applyFont="1" applyFill="1" applyBorder="1" applyAlignment="1">
      <alignment horizontal="center" vertical="center"/>
    </xf>
    <xf numFmtId="0" fontId="28" fillId="10" borderId="40" xfId="0" applyFont="1" applyFill="1" applyBorder="1" applyAlignment="1">
      <alignment horizontal="center" vertical="center"/>
    </xf>
    <xf numFmtId="0" fontId="28" fillId="10" borderId="41" xfId="0" applyFont="1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25" fillId="0" borderId="37" xfId="0" applyFont="1" applyBorder="1" applyAlignment="1">
      <alignment horizontal="left" vertical="center"/>
    </xf>
    <xf numFmtId="0" fontId="31" fillId="8" borderId="39" xfId="0" applyFont="1" applyFill="1" applyBorder="1" applyAlignment="1">
      <alignment horizontal="left" vertical="center"/>
    </xf>
    <xf numFmtId="0" fontId="31" fillId="8" borderId="40" xfId="0" applyFont="1" applyFill="1" applyBorder="1" applyAlignment="1">
      <alignment horizontal="left" vertical="center"/>
    </xf>
    <xf numFmtId="0" fontId="31" fillId="8" borderId="41" xfId="0" applyFont="1" applyFill="1" applyBorder="1" applyAlignment="1">
      <alignment horizontal="left" vertical="center"/>
    </xf>
    <xf numFmtId="4" fontId="26" fillId="0" borderId="37" xfId="0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 wrapText="1"/>
    </xf>
    <xf numFmtId="180" fontId="26" fillId="0" borderId="27" xfId="0" applyNumberFormat="1" applyFont="1" applyBorder="1" applyAlignment="1">
      <alignment horizontal="center" vertical="center"/>
    </xf>
    <xf numFmtId="191" fontId="33" fillId="0" borderId="37" xfId="0" applyNumberFormat="1" applyFont="1" applyBorder="1" applyAlignment="1">
      <alignment horizontal="right" vertical="center"/>
    </xf>
    <xf numFmtId="183" fontId="33" fillId="0" borderId="37" xfId="0" applyNumberFormat="1" applyFont="1" applyBorder="1" applyAlignment="1">
      <alignment horizontal="right" vertical="center"/>
    </xf>
    <xf numFmtId="0" fontId="26" fillId="4" borderId="37" xfId="0" applyFont="1" applyFill="1" applyBorder="1" applyAlignment="1">
      <alignment horizontal="center" vertical="center"/>
    </xf>
    <xf numFmtId="10" fontId="26" fillId="0" borderId="37" xfId="0" applyNumberFormat="1" applyFont="1" applyBorder="1" applyAlignment="1">
      <alignment horizontal="right" vertical="center"/>
    </xf>
    <xf numFmtId="10" fontId="26" fillId="0" borderId="39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9" fillId="7" borderId="0" xfId="1" applyFont="1" applyFill="1" applyAlignment="1">
      <alignment horizontal="left" vertical="center" shrinkToFit="1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8" fillId="7" borderId="9" xfId="1" applyFont="1" applyFill="1" applyBorder="1" applyAlignment="1">
      <alignment horizontal="center" vertical="center" shrinkToFit="1"/>
    </xf>
    <xf numFmtId="0" fontId="8" fillId="7" borderId="10" xfId="1" applyFont="1" applyFill="1" applyBorder="1" applyAlignment="1">
      <alignment horizontal="center" vertical="center" shrinkToFit="1"/>
    </xf>
    <xf numFmtId="0" fontId="8" fillId="3" borderId="10" xfId="1" applyFont="1" applyFill="1" applyBorder="1" applyAlignment="1">
      <alignment horizontal="center" vertical="center" shrinkToFit="1"/>
    </xf>
    <xf numFmtId="0" fontId="8" fillId="3" borderId="14" xfId="1" applyFont="1" applyFill="1" applyBorder="1" applyAlignment="1">
      <alignment horizontal="center" vertical="center" shrinkToFit="1"/>
    </xf>
    <xf numFmtId="184" fontId="2" fillId="0" borderId="0" xfId="1" applyNumberFormat="1" applyFont="1" applyAlignment="1">
      <alignment horizontal="center" vertical="center" shrinkToFit="1"/>
    </xf>
    <xf numFmtId="0" fontId="8" fillId="3" borderId="0" xfId="1" applyFont="1" applyFill="1" applyAlignment="1">
      <alignment horizontal="center" vertical="center" shrinkToFit="1"/>
    </xf>
    <xf numFmtId="0" fontId="8" fillId="4" borderId="9" xfId="1" applyFont="1" applyFill="1" applyBorder="1" applyAlignment="1">
      <alignment horizontal="center" vertical="center" shrinkToFit="1"/>
    </xf>
    <xf numFmtId="0" fontId="8" fillId="4" borderId="10" xfId="1" applyFont="1" applyFill="1" applyBorder="1" applyAlignment="1">
      <alignment horizontal="center" vertical="center" shrinkToFit="1"/>
    </xf>
    <xf numFmtId="10" fontId="11" fillId="0" borderId="10" xfId="1" applyNumberFormat="1" applyFont="1" applyBorder="1" applyAlignment="1">
      <alignment horizontal="center" vertical="center"/>
    </xf>
    <xf numFmtId="10" fontId="11" fillId="0" borderId="14" xfId="1" applyNumberFormat="1" applyFont="1" applyBorder="1" applyAlignment="1">
      <alignment horizontal="center" vertical="center"/>
    </xf>
    <xf numFmtId="0" fontId="8" fillId="7" borderId="26" xfId="1" applyFont="1" applyFill="1" applyBorder="1" applyAlignment="1">
      <alignment horizontal="center" vertical="center" shrinkToFit="1"/>
    </xf>
    <xf numFmtId="0" fontId="8" fillId="7" borderId="27" xfId="1" applyFont="1" applyFill="1" applyBorder="1" applyAlignment="1">
      <alignment horizontal="center" vertical="center" shrinkToFit="1"/>
    </xf>
    <xf numFmtId="0" fontId="8" fillId="3" borderId="27" xfId="1" applyFont="1" applyFill="1" applyBorder="1" applyAlignment="1">
      <alignment horizontal="center" vertical="center" shrinkToFit="1"/>
    </xf>
    <xf numFmtId="0" fontId="8" fillId="3" borderId="32" xfId="1" applyFont="1" applyFill="1" applyBorder="1" applyAlignment="1">
      <alignment horizontal="center" vertical="center" shrinkToFit="1"/>
    </xf>
    <xf numFmtId="0" fontId="8" fillId="4" borderId="26" xfId="1" applyFont="1" applyFill="1" applyBorder="1" applyAlignment="1">
      <alignment horizontal="center" vertical="center" shrinkToFit="1"/>
    </xf>
    <xf numFmtId="0" fontId="8" fillId="4" borderId="27" xfId="1" applyFont="1" applyFill="1" applyBorder="1" applyAlignment="1">
      <alignment horizontal="center" vertical="center" shrinkToFit="1"/>
    </xf>
    <xf numFmtId="177" fontId="2" fillId="0" borderId="27" xfId="1" applyNumberFormat="1" applyFont="1" applyBorder="1" applyAlignment="1">
      <alignment horizontal="center" vertical="center"/>
    </xf>
    <xf numFmtId="177" fontId="2" fillId="0" borderId="32" xfId="1" applyNumberFormat="1" applyFont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 shrinkToFit="1"/>
    </xf>
    <xf numFmtId="0" fontId="8" fillId="4" borderId="4" xfId="1" applyFont="1" applyFill="1" applyBorder="1" applyAlignment="1">
      <alignment horizontal="center" vertical="center" shrinkToFit="1"/>
    </xf>
    <xf numFmtId="14" fontId="12" fillId="3" borderId="4" xfId="1" applyNumberFormat="1" applyFont="1" applyFill="1" applyBorder="1" applyAlignment="1">
      <alignment horizontal="center" vertical="center" shrinkToFit="1"/>
    </xf>
    <xf numFmtId="14" fontId="12" fillId="3" borderId="8" xfId="1" applyNumberFormat="1" applyFont="1" applyFill="1" applyBorder="1" applyAlignment="1">
      <alignment horizontal="center" vertical="center" shrinkToFit="1"/>
    </xf>
    <xf numFmtId="0" fontId="8" fillId="7" borderId="3" xfId="1" applyFont="1" applyFill="1" applyBorder="1" applyAlignment="1">
      <alignment horizontal="center" vertical="center" shrinkToFit="1"/>
    </xf>
    <xf numFmtId="0" fontId="8" fillId="7" borderId="4" xfId="1" applyFont="1" applyFill="1" applyBorder="1" applyAlignment="1">
      <alignment horizontal="center" vertical="center" shrinkToFit="1"/>
    </xf>
    <xf numFmtId="0" fontId="8" fillId="7" borderId="8" xfId="1" applyFont="1" applyFill="1" applyBorder="1" applyAlignment="1">
      <alignment horizontal="center" vertical="center" shrinkToFit="1"/>
    </xf>
    <xf numFmtId="14" fontId="2" fillId="3" borderId="27" xfId="1" applyNumberFormat="1" applyFont="1" applyFill="1" applyBorder="1" applyAlignment="1">
      <alignment horizontal="center" vertical="center" shrinkToFit="1"/>
    </xf>
    <xf numFmtId="14" fontId="2" fillId="3" borderId="32" xfId="1" applyNumberFormat="1" applyFont="1" applyFill="1" applyBorder="1" applyAlignment="1">
      <alignment horizontal="center" vertical="center" shrinkToFit="1"/>
    </xf>
    <xf numFmtId="10" fontId="8" fillId="7" borderId="10" xfId="1" applyNumberFormat="1" applyFont="1" applyFill="1" applyBorder="1" applyAlignment="1">
      <alignment horizontal="center" vertical="center"/>
    </xf>
    <xf numFmtId="10" fontId="8" fillId="7" borderId="14" xfId="1" applyNumberFormat="1" applyFont="1" applyFill="1" applyBorder="1" applyAlignment="1">
      <alignment horizontal="center" vertical="center"/>
    </xf>
    <xf numFmtId="10" fontId="8" fillId="3" borderId="0" xfId="1" applyNumberFormat="1" applyFont="1" applyFill="1" applyAlignment="1">
      <alignment horizontal="center" vertical="center" shrinkToFit="1"/>
    </xf>
    <xf numFmtId="0" fontId="8" fillId="0" borderId="27" xfId="1" applyFont="1" applyBorder="1" applyAlignment="1">
      <alignment horizontal="center" vertical="center" wrapText="1" shrinkToFit="1"/>
    </xf>
    <xf numFmtId="0" fontId="13" fillId="7" borderId="10" xfId="1" applyFont="1" applyFill="1" applyBorder="1" applyAlignment="1">
      <alignment horizontal="center" vertical="center" shrinkToFit="1"/>
    </xf>
    <xf numFmtId="0" fontId="2" fillId="7" borderId="10" xfId="1" applyFont="1" applyFill="1" applyBorder="1" applyAlignment="1">
      <alignment horizontal="center" vertical="center"/>
    </xf>
    <xf numFmtId="0" fontId="8" fillId="7" borderId="10" xfId="1" applyFont="1" applyFill="1" applyBorder="1" applyAlignment="1">
      <alignment horizontal="center" vertical="center" wrapText="1" shrinkToFit="1"/>
    </xf>
    <xf numFmtId="0" fontId="13" fillId="0" borderId="27" xfId="1" applyFont="1" applyBorder="1" applyAlignment="1">
      <alignment horizontal="center" vertical="center" shrinkToFit="1"/>
    </xf>
    <xf numFmtId="186" fontId="2" fillId="7" borderId="10" xfId="1" applyNumberFormat="1" applyFont="1" applyFill="1" applyBorder="1" applyAlignment="1">
      <alignment horizontal="right" vertical="center"/>
    </xf>
    <xf numFmtId="186" fontId="12" fillId="7" borderId="10" xfId="1" applyNumberFormat="1" applyFont="1" applyFill="1" applyBorder="1" applyAlignment="1">
      <alignment horizontal="right" vertical="center" shrinkToFit="1"/>
    </xf>
    <xf numFmtId="186" fontId="2" fillId="0" borderId="27" xfId="1" applyNumberFormat="1" applyFont="1" applyBorder="1" applyAlignment="1">
      <alignment horizontal="right" vertical="center"/>
    </xf>
    <xf numFmtId="0" fontId="2" fillId="0" borderId="27" xfId="1" applyFont="1" applyBorder="1" applyAlignment="1">
      <alignment horizontal="center" vertical="center" shrinkToFit="1"/>
    </xf>
    <xf numFmtId="0" fontId="2" fillId="0" borderId="32" xfId="1" applyFont="1" applyBorder="1" applyAlignment="1">
      <alignment horizontal="center" vertical="center" shrinkToFit="1"/>
    </xf>
    <xf numFmtId="185" fontId="2" fillId="0" borderId="27" xfId="1" applyNumberFormat="1" applyFont="1" applyBorder="1" applyAlignment="1">
      <alignment horizontal="center" vertical="center" shrinkToFit="1"/>
    </xf>
    <xf numFmtId="0" fontId="2" fillId="0" borderId="27" xfId="1" applyFont="1" applyBorder="1" applyAlignment="1">
      <alignment horizontal="center" vertical="center" wrapText="1" shrinkToFit="1"/>
    </xf>
    <xf numFmtId="2" fontId="2" fillId="0" borderId="27" xfId="1" applyNumberFormat="1" applyFont="1" applyBorder="1" applyAlignment="1">
      <alignment horizontal="center" vertical="center" wrapText="1" shrinkToFit="1"/>
    </xf>
    <xf numFmtId="0" fontId="2" fillId="0" borderId="27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9" fillId="2" borderId="0" xfId="1" applyFont="1" applyFill="1" applyAlignment="1">
      <alignment horizontal="left" vertical="center" shrinkToFit="1"/>
    </xf>
    <xf numFmtId="0" fontId="8" fillId="4" borderId="3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8" fillId="4" borderId="26" xfId="2" applyFont="1" applyFill="1" applyBorder="1" applyAlignment="1">
      <alignment horizontal="center" vertical="center"/>
    </xf>
    <xf numFmtId="0" fontId="8" fillId="4" borderId="27" xfId="2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 shrinkToFit="1"/>
    </xf>
    <xf numFmtId="0" fontId="8" fillId="4" borderId="27" xfId="1" applyFont="1" applyFill="1" applyBorder="1" applyAlignment="1">
      <alignment horizontal="center" vertical="center" wrapText="1" shrinkToFit="1"/>
    </xf>
    <xf numFmtId="0" fontId="8" fillId="4" borderId="4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27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32" xfId="1" applyFont="1" applyFill="1" applyBorder="1" applyAlignment="1">
      <alignment horizontal="center" vertical="center"/>
    </xf>
    <xf numFmtId="179" fontId="13" fillId="0" borderId="27" xfId="1" applyNumberFormat="1" applyFont="1" applyBorder="1" applyAlignment="1">
      <alignment horizontal="right" vertical="center"/>
    </xf>
    <xf numFmtId="179" fontId="13" fillId="0" borderId="32" xfId="1" applyNumberFormat="1" applyFont="1" applyBorder="1" applyAlignment="1">
      <alignment horizontal="right" vertical="center"/>
    </xf>
    <xf numFmtId="0" fontId="8" fillId="4" borderId="26" xfId="1" applyFont="1" applyFill="1" applyBorder="1" applyAlignment="1">
      <alignment horizontal="center" vertical="center" wrapText="1" shrinkToFit="1"/>
    </xf>
    <xf numFmtId="0" fontId="8" fillId="4" borderId="9" xfId="1" applyFont="1" applyFill="1" applyBorder="1" applyAlignment="1">
      <alignment horizontal="center" vertical="center" wrapText="1" shrinkToFit="1"/>
    </xf>
    <xf numFmtId="0" fontId="8" fillId="4" borderId="10" xfId="1" applyFont="1" applyFill="1" applyBorder="1" applyAlignment="1">
      <alignment horizontal="center" vertical="center" wrapText="1" shrinkToFit="1"/>
    </xf>
    <xf numFmtId="10" fontId="8" fillId="0" borderId="27" xfId="1" applyNumberFormat="1" applyFont="1" applyBorder="1" applyAlignment="1">
      <alignment horizontal="center" vertical="center" wrapText="1"/>
    </xf>
    <xf numFmtId="10" fontId="8" fillId="0" borderId="10" xfId="1" applyNumberFormat="1" applyFont="1" applyBorder="1" applyAlignment="1">
      <alignment horizontal="center" vertical="center" wrapText="1"/>
    </xf>
    <xf numFmtId="183" fontId="8" fillId="0" borderId="27" xfId="1" applyNumberFormat="1" applyFont="1" applyBorder="1" applyAlignment="1">
      <alignment horizontal="center" vertical="center" wrapText="1" shrinkToFit="1"/>
    </xf>
    <xf numFmtId="183" fontId="8" fillId="0" borderId="10" xfId="1" applyNumberFormat="1" applyFont="1" applyBorder="1" applyAlignment="1">
      <alignment horizontal="center" vertical="center" wrapText="1" shrinkToFit="1"/>
    </xf>
    <xf numFmtId="2" fontId="2" fillId="0" borderId="27" xfId="1" applyNumberFormat="1" applyFont="1" applyBorder="1" applyAlignment="1">
      <alignment horizontal="center" vertical="center"/>
    </xf>
    <xf numFmtId="2" fontId="2" fillId="0" borderId="32" xfId="1" applyNumberFormat="1" applyFont="1" applyBorder="1" applyAlignment="1">
      <alignment horizontal="center" vertical="center"/>
    </xf>
    <xf numFmtId="2" fontId="2" fillId="0" borderId="10" xfId="1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0" fontId="11" fillId="7" borderId="9" xfId="2" applyFont="1" applyFill="1" applyBorder="1" applyAlignment="1">
      <alignment horizontal="center" vertical="center"/>
    </xf>
    <xf numFmtId="0" fontId="11" fillId="7" borderId="10" xfId="2" applyFont="1" applyFill="1" applyBorder="1" applyAlignment="1">
      <alignment horizontal="center" vertical="center"/>
    </xf>
    <xf numFmtId="179" fontId="8" fillId="7" borderId="10" xfId="1" applyNumberFormat="1" applyFont="1" applyFill="1" applyBorder="1" applyAlignment="1">
      <alignment horizontal="center" vertical="center"/>
    </xf>
    <xf numFmtId="179" fontId="12" fillId="7" borderId="10" xfId="1" applyNumberFormat="1" applyFont="1" applyFill="1" applyBorder="1" applyAlignment="1">
      <alignment horizontal="center" vertical="center" shrinkToFit="1"/>
    </xf>
    <xf numFmtId="184" fontId="12" fillId="7" borderId="10" xfId="1" applyNumberFormat="1" applyFont="1" applyFill="1" applyBorder="1" applyAlignment="1">
      <alignment horizontal="center" vertical="center" shrinkToFit="1"/>
    </xf>
    <xf numFmtId="184" fontId="12" fillId="7" borderId="14" xfId="1" applyNumberFormat="1" applyFont="1" applyFill="1" applyBorder="1" applyAlignment="1">
      <alignment horizontal="center" vertical="center" shrinkToFit="1"/>
    </xf>
    <xf numFmtId="0" fontId="11" fillId="4" borderId="26" xfId="2" applyFont="1" applyFill="1" applyBorder="1" applyAlignment="1">
      <alignment horizontal="center" vertical="center"/>
    </xf>
    <xf numFmtId="0" fontId="11" fillId="4" borderId="27" xfId="2" applyFont="1" applyFill="1" applyBorder="1" applyAlignment="1">
      <alignment horizontal="center" vertical="center"/>
    </xf>
    <xf numFmtId="0" fontId="11" fillId="6" borderId="27" xfId="2" applyFont="1" applyFill="1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180" fontId="11" fillId="0" borderId="27" xfId="1" applyNumberFormat="1" applyFont="1" applyBorder="1" applyAlignment="1">
      <alignment horizontal="center" vertical="center" shrinkToFit="1"/>
    </xf>
    <xf numFmtId="179" fontId="11" fillId="0" borderId="27" xfId="1" applyNumberFormat="1" applyFont="1" applyBorder="1" applyAlignment="1">
      <alignment horizontal="center" vertical="center"/>
    </xf>
    <xf numFmtId="179" fontId="8" fillId="0" borderId="27" xfId="1" applyNumberFormat="1" applyFont="1" applyBorder="1" applyAlignment="1">
      <alignment horizontal="right" vertical="center"/>
    </xf>
    <xf numFmtId="2" fontId="8" fillId="0" borderId="27" xfId="1" applyNumberFormat="1" applyFont="1" applyBorder="1" applyAlignment="1">
      <alignment horizontal="center" vertical="center" wrapText="1" shrinkToFit="1"/>
    </xf>
    <xf numFmtId="0" fontId="11" fillId="3" borderId="27" xfId="2" applyFont="1" applyFill="1" applyBorder="1" applyAlignment="1">
      <alignment horizontal="center" vertical="center"/>
    </xf>
    <xf numFmtId="181" fontId="13" fillId="3" borderId="27" xfId="1" applyNumberFormat="1" applyFont="1" applyFill="1" applyBorder="1" applyAlignment="1">
      <alignment horizontal="center" vertical="center" shrinkToFit="1"/>
    </xf>
    <xf numFmtId="179" fontId="11" fillId="3" borderId="27" xfId="2" applyNumberFormat="1" applyFont="1" applyFill="1" applyBorder="1" applyAlignment="1">
      <alignment horizontal="center" vertical="center"/>
    </xf>
    <xf numFmtId="179" fontId="11" fillId="0" borderId="27" xfId="1" applyNumberFormat="1" applyFont="1" applyBorder="1" applyAlignment="1">
      <alignment horizontal="right" vertical="center"/>
    </xf>
    <xf numFmtId="179" fontId="11" fillId="6" borderId="27" xfId="2" applyNumberFormat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/>
    </xf>
    <xf numFmtId="187" fontId="8" fillId="4" borderId="22" xfId="1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23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33" xfId="1" applyFont="1" applyFill="1" applyBorder="1" applyAlignment="1">
      <alignment horizontal="center" vertical="center"/>
    </xf>
    <xf numFmtId="179" fontId="11" fillId="0" borderId="27" xfId="2" applyNumberFormat="1" applyFont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8" fillId="4" borderId="26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49" fontId="11" fillId="5" borderId="26" xfId="2" applyNumberFormat="1" applyFont="1" applyFill="1" applyBorder="1" applyAlignment="1">
      <alignment horizontal="center" vertical="center"/>
    </xf>
    <xf numFmtId="49" fontId="11" fillId="5" borderId="27" xfId="2" applyNumberFormat="1" applyFont="1" applyFill="1" applyBorder="1" applyAlignment="1">
      <alignment horizontal="center" vertical="center"/>
    </xf>
    <xf numFmtId="0" fontId="11" fillId="5" borderId="27" xfId="2" applyFont="1" applyFill="1" applyBorder="1" applyAlignment="1">
      <alignment horizontal="center" vertical="center"/>
    </xf>
    <xf numFmtId="179" fontId="11" fillId="5" borderId="27" xfId="2" applyNumberFormat="1" applyFont="1" applyFill="1" applyBorder="1" applyAlignment="1">
      <alignment horizontal="center" vertical="center"/>
    </xf>
    <xf numFmtId="0" fontId="11" fillId="5" borderId="26" xfId="2" applyFont="1" applyFill="1" applyBorder="1" applyAlignment="1">
      <alignment horizontal="center" vertical="center"/>
    </xf>
    <xf numFmtId="179" fontId="11" fillId="5" borderId="28" xfId="2" applyNumberFormat="1" applyFont="1" applyFill="1" applyBorder="1" applyAlignment="1">
      <alignment horizontal="center" vertical="center"/>
    </xf>
    <xf numFmtId="179" fontId="11" fillId="5" borderId="29" xfId="2" applyNumberFormat="1" applyFont="1" applyFill="1" applyBorder="1" applyAlignment="1">
      <alignment horizontal="center" vertical="center"/>
    </xf>
    <xf numFmtId="179" fontId="11" fillId="5" borderId="30" xfId="2" applyNumberFormat="1" applyFont="1" applyFill="1" applyBorder="1" applyAlignment="1">
      <alignment horizontal="center" vertical="center"/>
    </xf>
    <xf numFmtId="178" fontId="11" fillId="5" borderId="28" xfId="2" applyNumberFormat="1" applyFont="1" applyFill="1" applyBorder="1" applyAlignment="1">
      <alignment horizontal="center" vertical="center"/>
    </xf>
    <xf numFmtId="178" fontId="11" fillId="5" borderId="29" xfId="2" applyNumberFormat="1" applyFont="1" applyFill="1" applyBorder="1" applyAlignment="1">
      <alignment horizontal="center" vertical="center"/>
    </xf>
    <xf numFmtId="178" fontId="11" fillId="5" borderId="30" xfId="2" applyNumberFormat="1" applyFont="1" applyFill="1" applyBorder="1" applyAlignment="1">
      <alignment horizontal="center" vertical="center"/>
    </xf>
    <xf numFmtId="179" fontId="11" fillId="0" borderId="28" xfId="1" applyNumberFormat="1" applyFont="1" applyBorder="1" applyAlignment="1">
      <alignment horizontal="right" vertical="center"/>
    </xf>
    <xf numFmtId="179" fontId="11" fillId="0" borderId="29" xfId="1" applyNumberFormat="1" applyFont="1" applyBorder="1" applyAlignment="1">
      <alignment horizontal="right" vertical="center"/>
    </xf>
    <xf numFmtId="179" fontId="11" fillId="0" borderId="30" xfId="1" applyNumberFormat="1" applyFont="1" applyBorder="1" applyAlignment="1">
      <alignment horizontal="right" vertical="center"/>
    </xf>
    <xf numFmtId="179" fontId="13" fillId="0" borderId="28" xfId="1" applyNumberFormat="1" applyFont="1" applyBorder="1" applyAlignment="1">
      <alignment horizontal="right" vertical="center"/>
    </xf>
    <xf numFmtId="179" fontId="13" fillId="0" borderId="29" xfId="1" applyNumberFormat="1" applyFont="1" applyBorder="1" applyAlignment="1">
      <alignment horizontal="right" vertical="center"/>
    </xf>
    <xf numFmtId="179" fontId="13" fillId="0" borderId="31" xfId="1" applyNumberFormat="1" applyFont="1" applyBorder="1" applyAlignment="1">
      <alignment horizontal="right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21" xfId="1" applyFont="1" applyFill="1" applyBorder="1" applyAlignment="1">
      <alignment horizontal="center" vertical="center"/>
    </xf>
    <xf numFmtId="0" fontId="11" fillId="4" borderId="28" xfId="1" applyFont="1" applyFill="1" applyBorder="1" applyAlignment="1">
      <alignment horizontal="center" vertical="center"/>
    </xf>
    <xf numFmtId="0" fontId="11" fillId="4" borderId="29" xfId="1" applyFont="1" applyFill="1" applyBorder="1" applyAlignment="1">
      <alignment horizontal="center" vertical="center"/>
    </xf>
    <xf numFmtId="0" fontId="11" fillId="4" borderId="30" xfId="1" applyFont="1" applyFill="1" applyBorder="1" applyAlignment="1">
      <alignment horizontal="center" vertical="center"/>
    </xf>
    <xf numFmtId="0" fontId="11" fillId="4" borderId="3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left" vertical="center" shrinkToFit="1"/>
    </xf>
    <xf numFmtId="0" fontId="8" fillId="4" borderId="16" xfId="2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23" xfId="2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center" vertical="center"/>
    </xf>
    <xf numFmtId="0" fontId="8" fillId="4" borderId="24" xfId="2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center" vertical="center" wrapText="1"/>
    </xf>
    <xf numFmtId="0" fontId="8" fillId="4" borderId="17" xfId="2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center" vertical="center" wrapText="1"/>
    </xf>
    <xf numFmtId="0" fontId="8" fillId="4" borderId="24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23" xfId="2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 shrinkToFit="1"/>
    </xf>
    <xf numFmtId="0" fontId="8" fillId="4" borderId="17" xfId="1" applyFont="1" applyFill="1" applyBorder="1" applyAlignment="1">
      <alignment horizontal="center" vertical="center" wrapText="1" shrinkToFit="1"/>
    </xf>
    <xf numFmtId="0" fontId="8" fillId="4" borderId="20" xfId="1" applyFont="1" applyFill="1" applyBorder="1" applyAlignment="1">
      <alignment horizontal="center" vertical="center" wrapText="1" shrinkToFit="1"/>
    </xf>
    <xf numFmtId="0" fontId="8" fillId="4" borderId="24" xfId="1" applyFont="1" applyFill="1" applyBorder="1" applyAlignment="1">
      <alignment horizontal="center" vertical="center" wrapText="1" shrinkToFit="1"/>
    </xf>
    <xf numFmtId="0" fontId="8" fillId="4" borderId="1" xfId="1" applyFont="1" applyFill="1" applyBorder="1" applyAlignment="1">
      <alignment horizontal="center" vertical="center" wrapText="1" shrinkToFit="1"/>
    </xf>
    <xf numFmtId="0" fontId="8" fillId="4" borderId="25" xfId="1" applyFont="1" applyFill="1" applyBorder="1" applyAlignment="1">
      <alignment horizontal="center" vertical="center" wrapText="1" shrinkToFit="1"/>
    </xf>
    <xf numFmtId="0" fontId="8" fillId="4" borderId="3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 wrapText="1"/>
    </xf>
    <xf numFmtId="0" fontId="11" fillId="4" borderId="4" xfId="1" applyFont="1" applyFill="1" applyBorder="1" applyAlignment="1">
      <alignment horizontal="center" vertical="center"/>
    </xf>
    <xf numFmtId="0" fontId="11" fillId="4" borderId="27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 shrinkToFit="1"/>
    </xf>
    <xf numFmtId="0" fontId="8" fillId="0" borderId="12" xfId="1" applyFont="1" applyBorder="1" applyAlignment="1">
      <alignment horizontal="center" vertical="center" shrinkToFit="1"/>
    </xf>
    <xf numFmtId="0" fontId="8" fillId="0" borderId="13" xfId="1" applyFont="1" applyBorder="1" applyAlignment="1">
      <alignment horizontal="center" vertical="center" shrinkToFit="1"/>
    </xf>
    <xf numFmtId="0" fontId="7" fillId="0" borderId="10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177" fontId="7" fillId="0" borderId="11" xfId="1" applyNumberFormat="1" applyFont="1" applyBorder="1" applyAlignment="1">
      <alignment horizontal="center" vertical="center" shrinkToFit="1"/>
    </xf>
    <xf numFmtId="177" fontId="7" fillId="0" borderId="12" xfId="1" applyNumberFormat="1" applyFont="1" applyBorder="1" applyAlignment="1">
      <alignment horizontal="center" vertical="center" shrinkToFit="1"/>
    </xf>
    <xf numFmtId="0" fontId="8" fillId="0" borderId="14" xfId="1" applyFont="1" applyBorder="1" applyAlignment="1">
      <alignment horizontal="center" vertical="center" shrinkToFit="1"/>
    </xf>
    <xf numFmtId="0" fontId="8" fillId="0" borderId="9" xfId="1" applyFont="1" applyBorder="1" applyAlignment="1">
      <alignment horizontal="center" vertical="center" shrinkToFit="1"/>
    </xf>
    <xf numFmtId="0" fontId="7" fillId="0" borderId="12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 shrinkToFit="1"/>
    </xf>
    <xf numFmtId="0" fontId="5" fillId="0" borderId="0" xfId="1" applyFont="1" applyAlignment="1">
      <alignment horizontal="center"/>
    </xf>
    <xf numFmtId="176" fontId="8" fillId="0" borderId="1" xfId="1" applyNumberFormat="1" applyFont="1" applyBorder="1" applyAlignment="1">
      <alignment horizontal="right" shrinkToFit="1"/>
    </xf>
    <xf numFmtId="0" fontId="8" fillId="0" borderId="3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left" shrinkToFit="1"/>
    </xf>
    <xf numFmtId="0" fontId="8" fillId="0" borderId="4" xfId="1" applyFont="1" applyBorder="1" applyAlignment="1">
      <alignment horizontal="left" shrinkToFit="1"/>
    </xf>
    <xf numFmtId="0" fontId="8" fillId="0" borderId="4" xfId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8" borderId="37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/>
    </xf>
    <xf numFmtId="0" fontId="24" fillId="11" borderId="38" xfId="0" applyFont="1" applyFill="1" applyBorder="1" applyAlignment="1">
      <alignment horizontal="center" vertical="center"/>
    </xf>
    <xf numFmtId="189" fontId="24" fillId="11" borderId="38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9" fillId="9" borderId="37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left" vertical="center"/>
    </xf>
  </cellXfs>
  <cellStyles count="3">
    <cellStyle name="표준" xfId="0" builtinId="0"/>
    <cellStyle name="표준 2 2" xfId="1" xr:uid="{6C114B24-168C-46DD-9118-C68D1689B6AF}"/>
    <cellStyle name="표준 4" xfId="2" xr:uid="{3DFD22B0-D4A5-4CD2-B21F-51D1F419C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94</xdr:col>
      <xdr:colOff>53340</xdr:colOff>
      <xdr:row>0</xdr:row>
      <xdr:rowOff>22860</xdr:rowOff>
    </xdr:from>
    <xdr:to>
      <xdr:col>128</xdr:col>
      <xdr:colOff>80473</xdr:colOff>
      <xdr:row>1</xdr:row>
      <xdr:rowOff>117686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AC044-A45F-474C-A84E-F3822949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0660" y="22860"/>
          <a:ext cx="3166573" cy="91778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94</xdr:col>
      <xdr:colOff>53340</xdr:colOff>
      <xdr:row>0</xdr:row>
      <xdr:rowOff>22860</xdr:rowOff>
    </xdr:from>
    <xdr:to>
      <xdr:col>128</xdr:col>
      <xdr:colOff>83820</xdr:colOff>
      <xdr:row>1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86783B-1897-9E28-529D-89206AC4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0660" y="22860"/>
          <a:ext cx="316992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7F75-1CFD-4ABE-B026-4113690A1F02}">
  <sheetPr>
    <tabColor rgb="FFFFFF00"/>
    <pageSetUpPr fitToPage="1"/>
  </sheetPr>
  <dimension ref="A1:EI67"/>
  <sheetViews>
    <sheetView showZeros="0" zoomScale="90" zoomScaleNormal="90" workbookViewId="0">
      <selection activeCell="BV11" sqref="BV11:CC12"/>
    </sheetView>
  </sheetViews>
  <sheetFormatPr defaultColWidth="9" defaultRowHeight="17.399999999999999" x14ac:dyDescent="0.4"/>
  <cols>
    <col min="1" max="3" width="1.59765625" style="1" customWidth="1"/>
    <col min="4" max="4" width="2.59765625" style="1" customWidth="1"/>
    <col min="5" max="5" width="1.19921875" style="1" customWidth="1"/>
    <col min="6" max="6" width="1.3984375" style="1" customWidth="1"/>
    <col min="7" max="7" width="1.19921875" style="1" customWidth="1"/>
    <col min="8" max="8" width="1.3984375" style="1" customWidth="1"/>
    <col min="9" max="9" width="1.19921875" style="1" customWidth="1"/>
    <col min="10" max="10" width="2.5" style="1" customWidth="1"/>
    <col min="11" max="11" width="1.3984375" style="1" customWidth="1"/>
    <col min="12" max="12" width="1.19921875" style="1" hidden="1" customWidth="1"/>
    <col min="13" max="14" width="1.19921875" style="1" customWidth="1"/>
    <col min="15" max="15" width="3.69921875" style="1" customWidth="1"/>
    <col min="16" max="125" width="1.19921875" style="1" customWidth="1"/>
    <col min="126" max="127" width="1.3984375" style="1" customWidth="1"/>
    <col min="128" max="128" width="1.19921875" style="1" customWidth="1"/>
    <col min="129" max="129" width="1.3984375" style="1" customWidth="1"/>
    <col min="130" max="130" width="7.59765625" style="1" customWidth="1"/>
    <col min="131" max="16384" width="9" style="1"/>
  </cols>
  <sheetData>
    <row r="1" spans="1:132" ht="64.95" customHeight="1" x14ac:dyDescent="1.100000000000000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05" t="s">
        <v>0</v>
      </c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5"/>
    </row>
    <row r="2" spans="1:132" ht="30" customHeight="1" x14ac:dyDescent="0.45"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DB2" s="4"/>
      <c r="DC2" s="4"/>
      <c r="DD2" s="4"/>
      <c r="DE2" s="4"/>
      <c r="DF2" s="4"/>
      <c r="DG2" s="306">
        <v>46210</v>
      </c>
      <c r="DH2" s="306"/>
      <c r="DI2" s="306"/>
      <c r="DJ2" s="306"/>
      <c r="DK2" s="306"/>
      <c r="DL2" s="306"/>
      <c r="DM2" s="306"/>
      <c r="DN2" s="306"/>
      <c r="DO2" s="306"/>
      <c r="DP2" s="306"/>
      <c r="DQ2" s="306"/>
      <c r="DR2" s="306"/>
      <c r="DS2" s="306"/>
      <c r="DT2" s="306"/>
      <c r="DU2" s="306"/>
      <c r="DV2" s="306"/>
      <c r="DW2" s="306"/>
      <c r="DX2" s="306"/>
      <c r="DY2" s="306"/>
    </row>
    <row r="3" spans="1:132" ht="5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</row>
    <row r="4" spans="1:132" ht="25.05" customHeight="1" x14ac:dyDescent="0.4">
      <c r="A4" s="254" t="s">
        <v>1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</row>
    <row r="5" spans="1:132" s="7" customFormat="1" ht="10.050000000000001" customHeight="1" thickBot="1" x14ac:dyDescent="0.4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</row>
    <row r="6" spans="1:132" ht="19.95" customHeight="1" x14ac:dyDescent="0.45">
      <c r="A6" s="307" t="s">
        <v>2</v>
      </c>
      <c r="B6" s="295"/>
      <c r="C6" s="295"/>
      <c r="D6" s="295"/>
      <c r="E6" s="295"/>
      <c r="F6" s="295"/>
      <c r="G6" s="295"/>
      <c r="H6" s="295"/>
      <c r="I6" s="295"/>
      <c r="J6" s="295" t="s">
        <v>3</v>
      </c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 t="s">
        <v>4</v>
      </c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308"/>
      <c r="AR6" s="308"/>
      <c r="AS6" s="308"/>
      <c r="AT6" s="308"/>
      <c r="AU6" s="308"/>
      <c r="AV6" s="308"/>
      <c r="AW6" s="308"/>
      <c r="AX6" s="308"/>
      <c r="AY6" s="308"/>
      <c r="AZ6" s="302"/>
      <c r="BA6" s="309" t="s">
        <v>5</v>
      </c>
      <c r="BB6" s="310"/>
      <c r="BC6" s="310"/>
      <c r="BD6" s="310"/>
      <c r="BE6" s="311" t="s">
        <v>6</v>
      </c>
      <c r="BF6" s="311"/>
      <c r="BG6" s="311"/>
      <c r="BH6" s="311"/>
      <c r="BI6" s="311"/>
      <c r="BJ6" s="311"/>
      <c r="BK6" s="311"/>
      <c r="BL6" s="311"/>
      <c r="BM6" s="311"/>
      <c r="BN6" s="311"/>
      <c r="BO6" s="311"/>
      <c r="BP6" s="308"/>
      <c r="BQ6" s="308"/>
      <c r="BR6" s="308"/>
      <c r="BS6" s="308"/>
      <c r="BT6" s="308"/>
      <c r="BU6" s="308"/>
      <c r="BV6" s="308"/>
      <c r="BW6" s="308"/>
      <c r="BX6" s="302"/>
      <c r="BY6" s="294" t="s">
        <v>7</v>
      </c>
      <c r="BZ6" s="295"/>
      <c r="CA6" s="295"/>
      <c r="CB6" s="295"/>
      <c r="CC6" s="295"/>
      <c r="CD6" s="296" t="s">
        <v>8</v>
      </c>
      <c r="CE6" s="297"/>
      <c r="CF6" s="297"/>
      <c r="CG6" s="297"/>
      <c r="CH6" s="297"/>
      <c r="CI6" s="297"/>
      <c r="CJ6" s="297"/>
      <c r="CK6" s="298"/>
      <c r="CL6" s="299"/>
      <c r="CM6" s="300"/>
      <c r="CN6" s="300"/>
      <c r="CO6" s="300"/>
      <c r="CP6" s="300"/>
      <c r="CQ6" s="300"/>
      <c r="CR6" s="300"/>
      <c r="CS6" s="300"/>
      <c r="CT6" s="300"/>
      <c r="CU6" s="300"/>
      <c r="CV6" s="301"/>
      <c r="CW6" s="295" t="s">
        <v>9</v>
      </c>
      <c r="CX6" s="295"/>
      <c r="CY6" s="295"/>
      <c r="CZ6" s="295"/>
      <c r="DA6" s="295"/>
      <c r="DB6" s="295"/>
      <c r="DC6" s="295"/>
      <c r="DD6" s="295"/>
      <c r="DE6" s="295"/>
      <c r="DF6" s="295"/>
      <c r="DG6" s="295"/>
      <c r="DH6" s="295"/>
      <c r="DI6" s="295"/>
      <c r="DJ6" s="302">
        <v>1</v>
      </c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294" t="s">
        <v>10</v>
      </c>
      <c r="DV6" s="295"/>
      <c r="DW6" s="295"/>
      <c r="DX6" s="295"/>
      <c r="DY6" s="304"/>
    </row>
    <row r="7" spans="1:132" ht="19.95" customHeight="1" thickBot="1" x14ac:dyDescent="0.45">
      <c r="A7" s="288" t="s">
        <v>11</v>
      </c>
      <c r="B7" s="284"/>
      <c r="C7" s="284"/>
      <c r="D7" s="284"/>
      <c r="E7" s="284"/>
      <c r="F7" s="284"/>
      <c r="G7" s="284"/>
      <c r="H7" s="284"/>
      <c r="I7" s="284"/>
      <c r="J7" s="284" t="s">
        <v>12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 t="s">
        <v>13</v>
      </c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3"/>
      <c r="AR7" s="289"/>
      <c r="AS7" s="289"/>
      <c r="AT7" s="289"/>
      <c r="AU7" s="289"/>
      <c r="AV7" s="289"/>
      <c r="AW7" s="289"/>
      <c r="AX7" s="289"/>
      <c r="AY7" s="289"/>
      <c r="AZ7" s="289"/>
      <c r="BA7" s="289"/>
      <c r="BB7" s="289"/>
      <c r="BC7" s="289"/>
      <c r="BD7" s="290"/>
      <c r="BE7" s="279" t="s">
        <v>14</v>
      </c>
      <c r="BF7" s="280"/>
      <c r="BG7" s="280"/>
      <c r="BH7" s="280"/>
      <c r="BI7" s="280"/>
      <c r="BJ7" s="280"/>
      <c r="BK7" s="280"/>
      <c r="BL7" s="280"/>
      <c r="BM7" s="280"/>
      <c r="BN7" s="280"/>
      <c r="BO7" s="281"/>
      <c r="BP7" s="291" t="s">
        <v>15</v>
      </c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3"/>
      <c r="CD7" s="279" t="s">
        <v>16</v>
      </c>
      <c r="CE7" s="280"/>
      <c r="CF7" s="280"/>
      <c r="CG7" s="280"/>
      <c r="CH7" s="280"/>
      <c r="CI7" s="280"/>
      <c r="CJ7" s="280"/>
      <c r="CK7" s="281"/>
      <c r="CL7" s="282">
        <v>6</v>
      </c>
      <c r="CM7" s="282"/>
      <c r="CN7" s="282"/>
      <c r="CO7" s="282"/>
      <c r="CP7" s="282"/>
      <c r="CQ7" s="282"/>
      <c r="CR7" s="282"/>
      <c r="CS7" s="283"/>
      <c r="CT7" s="281" t="s">
        <v>17</v>
      </c>
      <c r="CU7" s="284"/>
      <c r="CV7" s="284"/>
      <c r="CW7" s="279" t="s">
        <v>18</v>
      </c>
      <c r="CX7" s="280"/>
      <c r="CY7" s="280"/>
      <c r="CZ7" s="280"/>
      <c r="DA7" s="280"/>
      <c r="DB7" s="280"/>
      <c r="DC7" s="280"/>
      <c r="DD7" s="280"/>
      <c r="DE7" s="280"/>
      <c r="DF7" s="280"/>
      <c r="DG7" s="280"/>
      <c r="DH7" s="280"/>
      <c r="DI7" s="281"/>
      <c r="DJ7" s="285">
        <f>CH52</f>
        <v>0</v>
      </c>
      <c r="DK7" s="286"/>
      <c r="DL7" s="286"/>
      <c r="DM7" s="286"/>
      <c r="DN7" s="286"/>
      <c r="DO7" s="286"/>
      <c r="DP7" s="286"/>
      <c r="DQ7" s="286"/>
      <c r="DR7" s="286"/>
      <c r="DS7" s="286"/>
      <c r="DT7" s="286"/>
      <c r="DU7" s="281" t="s">
        <v>19</v>
      </c>
      <c r="DV7" s="284"/>
      <c r="DW7" s="284"/>
      <c r="DX7" s="284"/>
      <c r="DY7" s="287"/>
    </row>
    <row r="8" spans="1:132" ht="19.95" customHeight="1" x14ac:dyDescent="0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CR8" s="8"/>
      <c r="CS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</row>
    <row r="9" spans="1:132" ht="25.05" customHeight="1" x14ac:dyDescent="0.4">
      <c r="A9" s="254" t="s">
        <v>20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9"/>
      <c r="BP9" s="166" t="s">
        <v>21</v>
      </c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  <c r="DX9" s="166"/>
      <c r="DY9" s="166"/>
    </row>
    <row r="10" spans="1:132" ht="10.050000000000001" customHeight="1" thickBot="1" x14ac:dyDescent="0.45">
      <c r="A10" s="10"/>
      <c r="B10" s="10"/>
      <c r="C10" s="10"/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</row>
    <row r="11" spans="1:132" ht="19.95" customHeight="1" x14ac:dyDescent="0.4">
      <c r="A11" s="255" t="s">
        <v>22</v>
      </c>
      <c r="B11" s="256"/>
      <c r="C11" s="256"/>
      <c r="D11" s="257"/>
      <c r="E11" s="261" t="s">
        <v>23</v>
      </c>
      <c r="F11" s="256"/>
      <c r="G11" s="256"/>
      <c r="H11" s="256"/>
      <c r="I11" s="256"/>
      <c r="J11" s="256"/>
      <c r="K11" s="256"/>
      <c r="L11" s="256"/>
      <c r="M11" s="256"/>
      <c r="N11" s="256"/>
      <c r="O11" s="257"/>
      <c r="P11" s="261" t="s">
        <v>24</v>
      </c>
      <c r="Q11" s="256"/>
      <c r="R11" s="256"/>
      <c r="S11" s="256"/>
      <c r="T11" s="256"/>
      <c r="U11" s="256"/>
      <c r="V11" s="256"/>
      <c r="W11" s="256"/>
      <c r="X11" s="256"/>
      <c r="Y11" s="257"/>
      <c r="Z11" s="263" t="s">
        <v>25</v>
      </c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5"/>
      <c r="AL11" s="263" t="s">
        <v>26</v>
      </c>
      <c r="AM11" s="264"/>
      <c r="AN11" s="264"/>
      <c r="AO11" s="264"/>
      <c r="AP11" s="264"/>
      <c r="AQ11" s="264"/>
      <c r="AR11" s="264"/>
      <c r="AS11" s="264"/>
      <c r="AT11" s="264"/>
      <c r="AU11" s="264"/>
      <c r="AV11" s="264"/>
      <c r="AW11" s="264"/>
      <c r="AX11" s="265"/>
      <c r="AY11" s="269" t="s">
        <v>27</v>
      </c>
      <c r="AZ11" s="270"/>
      <c r="BA11" s="270"/>
      <c r="BB11" s="270"/>
      <c r="BC11" s="270"/>
      <c r="BD11" s="270"/>
      <c r="BE11" s="270"/>
      <c r="BF11" s="270"/>
      <c r="BG11" s="270"/>
      <c r="BH11" s="270"/>
      <c r="BI11" s="270"/>
      <c r="BJ11" s="270"/>
      <c r="BK11" s="270"/>
      <c r="BL11" s="271"/>
      <c r="BM11" s="8"/>
      <c r="BN11" s="8"/>
      <c r="BP11" s="275" t="s">
        <v>28</v>
      </c>
      <c r="BQ11" s="175"/>
      <c r="BR11" s="175"/>
      <c r="BS11" s="175"/>
      <c r="BT11" s="175"/>
      <c r="BU11" s="175"/>
      <c r="BV11" s="276" t="s">
        <v>29</v>
      </c>
      <c r="BW11" s="277"/>
      <c r="BX11" s="277"/>
      <c r="BY11" s="277"/>
      <c r="BZ11" s="277"/>
      <c r="CA11" s="277"/>
      <c r="CB11" s="277"/>
      <c r="CC11" s="277"/>
      <c r="CD11" s="247" t="s">
        <v>30</v>
      </c>
      <c r="CE11" s="248"/>
      <c r="CF11" s="248"/>
      <c r="CG11" s="248"/>
      <c r="CH11" s="248"/>
      <c r="CI11" s="248"/>
      <c r="CJ11" s="248"/>
      <c r="CK11" s="248"/>
      <c r="CL11" s="248"/>
      <c r="CM11" s="248"/>
      <c r="CN11" s="248"/>
      <c r="CO11" s="248"/>
      <c r="CP11" s="248"/>
      <c r="CQ11" s="248"/>
      <c r="CR11" s="248"/>
      <c r="CS11" s="248"/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8"/>
      <c r="DI11" s="248"/>
      <c r="DJ11" s="248"/>
      <c r="DK11" s="248"/>
      <c r="DL11" s="248"/>
      <c r="DM11" s="248"/>
      <c r="DN11" s="248"/>
      <c r="DO11" s="248"/>
      <c r="DP11" s="248"/>
      <c r="DQ11" s="248"/>
      <c r="DR11" s="248"/>
      <c r="DS11" s="248"/>
      <c r="DT11" s="248"/>
      <c r="DU11" s="248"/>
      <c r="DV11" s="248"/>
      <c r="DW11" s="248"/>
      <c r="DX11" s="248"/>
      <c r="DY11" s="249"/>
    </row>
    <row r="12" spans="1:132" ht="19.95" customHeight="1" x14ac:dyDescent="0.4">
      <c r="A12" s="258"/>
      <c r="B12" s="259"/>
      <c r="C12" s="259"/>
      <c r="D12" s="260"/>
      <c r="E12" s="262"/>
      <c r="F12" s="259"/>
      <c r="G12" s="259"/>
      <c r="H12" s="259"/>
      <c r="I12" s="259"/>
      <c r="J12" s="259"/>
      <c r="K12" s="259"/>
      <c r="L12" s="259"/>
      <c r="M12" s="259"/>
      <c r="N12" s="259"/>
      <c r="O12" s="260"/>
      <c r="P12" s="262"/>
      <c r="Q12" s="259"/>
      <c r="R12" s="259"/>
      <c r="S12" s="259"/>
      <c r="T12" s="259"/>
      <c r="U12" s="259"/>
      <c r="V12" s="259"/>
      <c r="W12" s="259"/>
      <c r="X12" s="259"/>
      <c r="Y12" s="260"/>
      <c r="Z12" s="266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8"/>
      <c r="AL12" s="266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8"/>
      <c r="AY12" s="272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3"/>
      <c r="BL12" s="274"/>
      <c r="BM12" s="8"/>
      <c r="BN12" s="8"/>
      <c r="BP12" s="228"/>
      <c r="BQ12" s="176"/>
      <c r="BR12" s="176"/>
      <c r="BS12" s="176"/>
      <c r="BT12" s="176"/>
      <c r="BU12" s="176"/>
      <c r="BV12" s="278"/>
      <c r="BW12" s="278"/>
      <c r="BX12" s="278"/>
      <c r="BY12" s="278"/>
      <c r="BZ12" s="278"/>
      <c r="CA12" s="278"/>
      <c r="CB12" s="278"/>
      <c r="CC12" s="278"/>
      <c r="CD12" s="250" t="s">
        <v>31</v>
      </c>
      <c r="CE12" s="251"/>
      <c r="CF12" s="251"/>
      <c r="CG12" s="251"/>
      <c r="CH12" s="251"/>
      <c r="CI12" s="251"/>
      <c r="CJ12" s="251"/>
      <c r="CK12" s="251"/>
      <c r="CL12" s="252"/>
      <c r="CM12" s="251" t="s">
        <v>32</v>
      </c>
      <c r="CN12" s="251"/>
      <c r="CO12" s="251"/>
      <c r="CP12" s="251"/>
      <c r="CQ12" s="251"/>
      <c r="CR12" s="251"/>
      <c r="CS12" s="251"/>
      <c r="CT12" s="251"/>
      <c r="CU12" s="251"/>
      <c r="CV12" s="252"/>
      <c r="CW12" s="251" t="s">
        <v>33</v>
      </c>
      <c r="CX12" s="251"/>
      <c r="CY12" s="251"/>
      <c r="CZ12" s="251"/>
      <c r="DA12" s="251"/>
      <c r="DB12" s="251"/>
      <c r="DC12" s="251"/>
      <c r="DD12" s="251"/>
      <c r="DE12" s="251"/>
      <c r="DF12" s="252"/>
      <c r="DG12" s="251" t="s">
        <v>34</v>
      </c>
      <c r="DH12" s="251"/>
      <c r="DI12" s="251"/>
      <c r="DJ12" s="251"/>
      <c r="DK12" s="251"/>
      <c r="DL12" s="251"/>
      <c r="DM12" s="251"/>
      <c r="DN12" s="251"/>
      <c r="DO12" s="251"/>
      <c r="DP12" s="252"/>
      <c r="DQ12" s="251" t="s">
        <v>35</v>
      </c>
      <c r="DR12" s="251"/>
      <c r="DS12" s="251"/>
      <c r="DT12" s="251"/>
      <c r="DU12" s="251"/>
      <c r="DV12" s="251"/>
      <c r="DW12" s="251"/>
      <c r="DX12" s="251"/>
      <c r="DY12" s="253"/>
    </row>
    <row r="13" spans="1:132" ht="19.95" customHeight="1" x14ac:dyDescent="0.4">
      <c r="A13" s="234">
        <v>1</v>
      </c>
      <c r="B13" s="232"/>
      <c r="C13" s="232"/>
      <c r="D13" s="232"/>
      <c r="E13" s="232" t="s">
        <v>36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 t="s">
        <v>37</v>
      </c>
      <c r="Q13" s="232"/>
      <c r="R13" s="232"/>
      <c r="S13" s="232"/>
      <c r="T13" s="232"/>
      <c r="U13" s="232"/>
      <c r="V13" s="232"/>
      <c r="W13" s="232"/>
      <c r="X13" s="232"/>
      <c r="Y13" s="232"/>
      <c r="Z13" s="238">
        <v>350</v>
      </c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40"/>
      <c r="AL13" s="241">
        <f>Z13*$DJ$6</f>
        <v>350</v>
      </c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3"/>
      <c r="AY13" s="244">
        <v>1730</v>
      </c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6"/>
      <c r="BM13" s="8"/>
      <c r="BN13" s="8"/>
      <c r="BP13" s="228">
        <v>1</v>
      </c>
      <c r="BQ13" s="176"/>
      <c r="BR13" s="176"/>
      <c r="BS13" s="176"/>
      <c r="BT13" s="176"/>
      <c r="BU13" s="176"/>
      <c r="BV13" s="164"/>
      <c r="BW13" s="164"/>
      <c r="BX13" s="164"/>
      <c r="BY13" s="164"/>
      <c r="BZ13" s="164"/>
      <c r="CA13" s="164"/>
      <c r="CB13" s="164"/>
      <c r="CC13" s="164"/>
      <c r="CD13" s="229"/>
      <c r="CE13" s="225"/>
      <c r="CF13" s="225"/>
      <c r="CG13" s="225"/>
      <c r="CH13" s="225"/>
      <c r="CI13" s="225"/>
      <c r="CJ13" s="225"/>
      <c r="CK13" s="225"/>
      <c r="CL13" s="226"/>
      <c r="CM13" s="225"/>
      <c r="CN13" s="225"/>
      <c r="CO13" s="225"/>
      <c r="CP13" s="225"/>
      <c r="CQ13" s="225"/>
      <c r="CR13" s="225"/>
      <c r="CS13" s="225"/>
      <c r="CT13" s="225"/>
      <c r="CU13" s="225"/>
      <c r="CV13" s="226"/>
      <c r="CW13" s="225"/>
      <c r="CX13" s="225"/>
      <c r="CY13" s="225"/>
      <c r="CZ13" s="225"/>
      <c r="DA13" s="225"/>
      <c r="DB13" s="225"/>
      <c r="DC13" s="225"/>
      <c r="DD13" s="225"/>
      <c r="DE13" s="225"/>
      <c r="DF13" s="226"/>
      <c r="DG13" s="225"/>
      <c r="DH13" s="225"/>
      <c r="DI13" s="225"/>
      <c r="DJ13" s="225"/>
      <c r="DK13" s="225"/>
      <c r="DL13" s="225"/>
      <c r="DM13" s="225"/>
      <c r="DN13" s="225"/>
      <c r="DO13" s="225"/>
      <c r="DP13" s="226"/>
      <c r="DQ13" s="225"/>
      <c r="DR13" s="225"/>
      <c r="DS13" s="225"/>
      <c r="DT13" s="225"/>
      <c r="DU13" s="225"/>
      <c r="DV13" s="225"/>
      <c r="DW13" s="225"/>
      <c r="DX13" s="225"/>
      <c r="DY13" s="227"/>
    </row>
    <row r="14" spans="1:132" ht="19.95" customHeight="1" x14ac:dyDescent="0.4">
      <c r="A14" s="234">
        <v>2</v>
      </c>
      <c r="B14" s="232"/>
      <c r="C14" s="232"/>
      <c r="D14" s="232"/>
      <c r="E14" s="232" t="s">
        <v>38</v>
      </c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 t="s">
        <v>39</v>
      </c>
      <c r="Q14" s="232"/>
      <c r="R14" s="232"/>
      <c r="S14" s="232"/>
      <c r="T14" s="232"/>
      <c r="U14" s="232"/>
      <c r="V14" s="232"/>
      <c r="W14" s="232"/>
      <c r="X14" s="232"/>
      <c r="Y14" s="232"/>
      <c r="Z14" s="235">
        <v>112.5</v>
      </c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7"/>
      <c r="AL14" s="209">
        <f>Z14*$DJ$6</f>
        <v>112.5</v>
      </c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179">
        <v>560</v>
      </c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80"/>
      <c r="BM14" s="8"/>
      <c r="BN14" s="8"/>
      <c r="BO14" s="8"/>
      <c r="BP14" s="228">
        <v>2</v>
      </c>
      <c r="BQ14" s="176"/>
      <c r="BR14" s="176"/>
      <c r="BS14" s="176"/>
      <c r="BT14" s="176"/>
      <c r="BU14" s="176"/>
      <c r="BV14" s="164"/>
      <c r="BW14" s="164"/>
      <c r="BX14" s="164"/>
      <c r="BY14" s="164"/>
      <c r="BZ14" s="164"/>
      <c r="CA14" s="164"/>
      <c r="CB14" s="164"/>
      <c r="CC14" s="164"/>
      <c r="CD14" s="229"/>
      <c r="CE14" s="225"/>
      <c r="CF14" s="225"/>
      <c r="CG14" s="225"/>
      <c r="CH14" s="225"/>
      <c r="CI14" s="225"/>
      <c r="CJ14" s="225"/>
      <c r="CK14" s="225"/>
      <c r="CL14" s="226"/>
      <c r="CM14" s="225"/>
      <c r="CN14" s="225"/>
      <c r="CO14" s="225"/>
      <c r="CP14" s="225"/>
      <c r="CQ14" s="225"/>
      <c r="CR14" s="225"/>
      <c r="CS14" s="225"/>
      <c r="CT14" s="225"/>
      <c r="CU14" s="225"/>
      <c r="CV14" s="226"/>
      <c r="CW14" s="225"/>
      <c r="CX14" s="225"/>
      <c r="CY14" s="225"/>
      <c r="CZ14" s="225"/>
      <c r="DA14" s="225"/>
      <c r="DB14" s="225"/>
      <c r="DC14" s="225"/>
      <c r="DD14" s="225"/>
      <c r="DE14" s="225"/>
      <c r="DF14" s="226"/>
      <c r="DG14" s="225"/>
      <c r="DH14" s="225"/>
      <c r="DI14" s="225"/>
      <c r="DJ14" s="225"/>
      <c r="DK14" s="225"/>
      <c r="DL14" s="225"/>
      <c r="DM14" s="225"/>
      <c r="DN14" s="225"/>
      <c r="DO14" s="225"/>
      <c r="DP14" s="226"/>
      <c r="DQ14" s="225"/>
      <c r="DR14" s="225"/>
      <c r="DS14" s="225"/>
      <c r="DT14" s="225"/>
      <c r="DU14" s="225"/>
      <c r="DV14" s="225"/>
      <c r="DW14" s="225"/>
      <c r="DX14" s="225"/>
      <c r="DY14" s="227"/>
    </row>
    <row r="15" spans="1:132" ht="19.95" customHeight="1" x14ac:dyDescent="0.4">
      <c r="A15" s="234">
        <v>3</v>
      </c>
      <c r="B15" s="232"/>
      <c r="C15" s="232"/>
      <c r="D15" s="232"/>
      <c r="E15" s="232" t="s">
        <v>40</v>
      </c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 t="s">
        <v>41</v>
      </c>
      <c r="Q15" s="232"/>
      <c r="R15" s="232"/>
      <c r="S15" s="232"/>
      <c r="T15" s="232"/>
      <c r="U15" s="232"/>
      <c r="V15" s="232"/>
      <c r="W15" s="232"/>
      <c r="X15" s="232"/>
      <c r="Y15" s="232"/>
      <c r="Z15" s="233">
        <v>37.5</v>
      </c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09">
        <f t="shared" ref="AL15:AL27" si="0">Z15*$DJ$6</f>
        <v>37.5</v>
      </c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179">
        <v>285</v>
      </c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80"/>
      <c r="BM15" s="8"/>
      <c r="BN15" s="8"/>
      <c r="BP15" s="228">
        <v>3</v>
      </c>
      <c r="BQ15" s="176"/>
      <c r="BR15" s="176"/>
      <c r="BS15" s="176"/>
      <c r="BT15" s="176"/>
      <c r="BU15" s="176"/>
      <c r="BV15" s="164"/>
      <c r="BW15" s="164"/>
      <c r="BX15" s="164"/>
      <c r="BY15" s="164"/>
      <c r="BZ15" s="164"/>
      <c r="CA15" s="164"/>
      <c r="CB15" s="164"/>
      <c r="CC15" s="164"/>
      <c r="CD15" s="229"/>
      <c r="CE15" s="225"/>
      <c r="CF15" s="225"/>
      <c r="CG15" s="225"/>
      <c r="CH15" s="225"/>
      <c r="CI15" s="225"/>
      <c r="CJ15" s="225"/>
      <c r="CK15" s="225"/>
      <c r="CL15" s="226"/>
      <c r="CM15" s="225"/>
      <c r="CN15" s="225"/>
      <c r="CO15" s="225"/>
      <c r="CP15" s="225"/>
      <c r="CQ15" s="225"/>
      <c r="CR15" s="225"/>
      <c r="CS15" s="225"/>
      <c r="CT15" s="225"/>
      <c r="CU15" s="225"/>
      <c r="CV15" s="226"/>
      <c r="CW15" s="225"/>
      <c r="CX15" s="225"/>
      <c r="CY15" s="225"/>
      <c r="CZ15" s="225"/>
      <c r="DA15" s="225"/>
      <c r="DB15" s="225"/>
      <c r="DC15" s="225"/>
      <c r="DD15" s="225"/>
      <c r="DE15" s="225"/>
      <c r="DF15" s="226"/>
      <c r="DG15" s="225"/>
      <c r="DH15" s="225"/>
      <c r="DI15" s="225"/>
      <c r="DJ15" s="225"/>
      <c r="DK15" s="225"/>
      <c r="DL15" s="225"/>
      <c r="DM15" s="225"/>
      <c r="DN15" s="225"/>
      <c r="DO15" s="225"/>
      <c r="DP15" s="226"/>
      <c r="DQ15" s="225"/>
      <c r="DR15" s="225"/>
      <c r="DS15" s="225"/>
      <c r="DT15" s="225"/>
      <c r="DU15" s="225"/>
      <c r="DV15" s="225"/>
      <c r="DW15" s="225"/>
      <c r="DX15" s="225"/>
      <c r="DY15" s="227"/>
    </row>
    <row r="16" spans="1:132" ht="19.95" customHeight="1" x14ac:dyDescent="0.4">
      <c r="A16" s="230" t="s">
        <v>42</v>
      </c>
      <c r="B16" s="231"/>
      <c r="C16" s="231"/>
      <c r="D16" s="231"/>
      <c r="E16" s="232" t="s">
        <v>40</v>
      </c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 t="s">
        <v>41</v>
      </c>
      <c r="Q16" s="232"/>
      <c r="R16" s="232"/>
      <c r="S16" s="232"/>
      <c r="T16" s="232"/>
      <c r="U16" s="232"/>
      <c r="V16" s="232"/>
      <c r="W16" s="232"/>
      <c r="X16" s="232"/>
      <c r="Y16" s="232"/>
      <c r="Z16" s="233">
        <v>20</v>
      </c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09">
        <f t="shared" si="0"/>
        <v>20</v>
      </c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179">
        <v>25</v>
      </c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80"/>
      <c r="BM16" s="8"/>
      <c r="BN16" s="8"/>
      <c r="BO16" s="8"/>
      <c r="BP16" s="228">
        <v>4</v>
      </c>
      <c r="BQ16" s="176"/>
      <c r="BR16" s="176"/>
      <c r="BS16" s="176"/>
      <c r="BT16" s="176"/>
      <c r="BU16" s="176"/>
      <c r="BV16" s="164"/>
      <c r="BW16" s="164"/>
      <c r="BX16" s="164"/>
      <c r="BY16" s="164"/>
      <c r="BZ16" s="164"/>
      <c r="CA16" s="164"/>
      <c r="CB16" s="164"/>
      <c r="CC16" s="164"/>
      <c r="CD16" s="229"/>
      <c r="CE16" s="225"/>
      <c r="CF16" s="225"/>
      <c r="CG16" s="225"/>
      <c r="CH16" s="225"/>
      <c r="CI16" s="225"/>
      <c r="CJ16" s="225"/>
      <c r="CK16" s="225"/>
      <c r="CL16" s="226"/>
      <c r="CM16" s="225"/>
      <c r="CN16" s="225"/>
      <c r="CO16" s="225"/>
      <c r="CP16" s="225"/>
      <c r="CQ16" s="225"/>
      <c r="CR16" s="225"/>
      <c r="CS16" s="225"/>
      <c r="CT16" s="225"/>
      <c r="CU16" s="225"/>
      <c r="CV16" s="226"/>
      <c r="CW16" s="225"/>
      <c r="CX16" s="225"/>
      <c r="CY16" s="225"/>
      <c r="CZ16" s="225"/>
      <c r="DA16" s="225"/>
      <c r="DB16" s="225"/>
      <c r="DC16" s="225"/>
      <c r="DD16" s="225"/>
      <c r="DE16" s="225"/>
      <c r="DF16" s="226"/>
      <c r="DG16" s="225"/>
      <c r="DH16" s="225"/>
      <c r="DI16" s="225"/>
      <c r="DJ16" s="225"/>
      <c r="DK16" s="225"/>
      <c r="DL16" s="225"/>
      <c r="DM16" s="225"/>
      <c r="DN16" s="225"/>
      <c r="DO16" s="225"/>
      <c r="DP16" s="226"/>
      <c r="DQ16" s="225"/>
      <c r="DR16" s="225"/>
      <c r="DS16" s="225"/>
      <c r="DT16" s="225"/>
      <c r="DU16" s="225"/>
      <c r="DV16" s="225"/>
      <c r="DW16" s="225"/>
      <c r="DX16" s="225"/>
      <c r="DY16" s="227"/>
      <c r="EB16" s="11">
        <f>4.6-30%</f>
        <v>4.3</v>
      </c>
    </row>
    <row r="17" spans="1:133" ht="19.95" customHeight="1" x14ac:dyDescent="0.4">
      <c r="A17" s="198">
        <v>4</v>
      </c>
      <c r="B17" s="199"/>
      <c r="C17" s="199"/>
      <c r="D17" s="199"/>
      <c r="E17" s="200" t="s">
        <v>43</v>
      </c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 t="s">
        <v>44</v>
      </c>
      <c r="Q17" s="200"/>
      <c r="R17" s="200"/>
      <c r="S17" s="200"/>
      <c r="T17" s="200"/>
      <c r="U17" s="200"/>
      <c r="V17" s="200"/>
      <c r="W17" s="200"/>
      <c r="X17" s="200"/>
      <c r="Y17" s="200"/>
      <c r="Z17" s="210">
        <v>5</v>
      </c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09">
        <f t="shared" si="0"/>
        <v>5</v>
      </c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179">
        <v>25</v>
      </c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80"/>
      <c r="BM17" s="8"/>
      <c r="BN17" s="8"/>
      <c r="BO17" s="8"/>
      <c r="BP17" s="228">
        <v>5</v>
      </c>
      <c r="BQ17" s="176"/>
      <c r="BR17" s="176"/>
      <c r="BS17" s="176"/>
      <c r="BT17" s="176"/>
      <c r="BU17" s="176"/>
      <c r="BV17" s="164"/>
      <c r="BW17" s="164"/>
      <c r="BX17" s="164"/>
      <c r="BY17" s="164"/>
      <c r="BZ17" s="164"/>
      <c r="CA17" s="164"/>
      <c r="CB17" s="164"/>
      <c r="CC17" s="164"/>
      <c r="CD17" s="229"/>
      <c r="CE17" s="225"/>
      <c r="CF17" s="225"/>
      <c r="CG17" s="225"/>
      <c r="CH17" s="225"/>
      <c r="CI17" s="225"/>
      <c r="CJ17" s="225"/>
      <c r="CK17" s="225"/>
      <c r="CL17" s="226"/>
      <c r="CM17" s="225"/>
      <c r="CN17" s="225"/>
      <c r="CO17" s="225"/>
      <c r="CP17" s="225"/>
      <c r="CQ17" s="225"/>
      <c r="CR17" s="225"/>
      <c r="CS17" s="225"/>
      <c r="CT17" s="225"/>
      <c r="CU17" s="225"/>
      <c r="CV17" s="226"/>
      <c r="CW17" s="225"/>
      <c r="CX17" s="225"/>
      <c r="CY17" s="225"/>
      <c r="CZ17" s="225"/>
      <c r="DA17" s="225"/>
      <c r="DB17" s="225"/>
      <c r="DC17" s="225"/>
      <c r="DD17" s="225"/>
      <c r="DE17" s="225"/>
      <c r="DF17" s="226"/>
      <c r="DG17" s="225"/>
      <c r="DH17" s="225"/>
      <c r="DI17" s="225"/>
      <c r="DJ17" s="225"/>
      <c r="DK17" s="225"/>
      <c r="DL17" s="225"/>
      <c r="DM17" s="225"/>
      <c r="DN17" s="225"/>
      <c r="DO17" s="225"/>
      <c r="DP17" s="226"/>
      <c r="DQ17" s="225"/>
      <c r="DR17" s="225"/>
      <c r="DS17" s="225"/>
      <c r="DT17" s="225"/>
      <c r="DU17" s="225"/>
      <c r="DV17" s="225"/>
      <c r="DW17" s="225"/>
      <c r="DX17" s="225"/>
      <c r="DY17" s="227"/>
    </row>
    <row r="18" spans="1:133" ht="19.95" customHeight="1" thickBot="1" x14ac:dyDescent="0.45">
      <c r="A18" s="198">
        <v>5</v>
      </c>
      <c r="B18" s="199"/>
      <c r="C18" s="199"/>
      <c r="D18" s="199"/>
      <c r="E18" s="200" t="s">
        <v>43</v>
      </c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1" t="s">
        <v>45</v>
      </c>
      <c r="Q18" s="201"/>
      <c r="R18" s="201"/>
      <c r="S18" s="201"/>
      <c r="T18" s="201"/>
      <c r="U18" s="201"/>
      <c r="V18" s="201"/>
      <c r="W18" s="201"/>
      <c r="X18" s="201"/>
      <c r="Y18" s="201"/>
      <c r="Z18" s="220">
        <v>6.6</v>
      </c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09">
        <f t="shared" si="0"/>
        <v>6.6</v>
      </c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179">
        <v>25</v>
      </c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80"/>
      <c r="BM18" s="8"/>
      <c r="BN18" s="8"/>
      <c r="BO18" s="8"/>
      <c r="BP18" s="221">
        <v>6</v>
      </c>
      <c r="BQ18" s="222"/>
      <c r="BR18" s="222"/>
      <c r="BS18" s="222"/>
      <c r="BT18" s="222"/>
      <c r="BU18" s="222"/>
      <c r="BV18" s="223"/>
      <c r="BW18" s="223"/>
      <c r="BX18" s="223"/>
      <c r="BY18" s="223"/>
      <c r="BZ18" s="223"/>
      <c r="CA18" s="223"/>
      <c r="CB18" s="223"/>
      <c r="CC18" s="223"/>
      <c r="CD18" s="224"/>
      <c r="CE18" s="217"/>
      <c r="CF18" s="217"/>
      <c r="CG18" s="217"/>
      <c r="CH18" s="217"/>
      <c r="CI18" s="217"/>
      <c r="CJ18" s="217"/>
      <c r="CK18" s="217"/>
      <c r="CL18" s="218"/>
      <c r="CM18" s="217"/>
      <c r="CN18" s="217"/>
      <c r="CO18" s="217"/>
      <c r="CP18" s="217"/>
      <c r="CQ18" s="217"/>
      <c r="CR18" s="217"/>
      <c r="CS18" s="217"/>
      <c r="CT18" s="217"/>
      <c r="CU18" s="217"/>
      <c r="CV18" s="218"/>
      <c r="CW18" s="217"/>
      <c r="CX18" s="217"/>
      <c r="CY18" s="217"/>
      <c r="CZ18" s="217"/>
      <c r="DA18" s="217"/>
      <c r="DB18" s="217"/>
      <c r="DC18" s="217"/>
      <c r="DD18" s="217"/>
      <c r="DE18" s="217"/>
      <c r="DF18" s="218"/>
      <c r="DG18" s="217"/>
      <c r="DH18" s="217"/>
      <c r="DI18" s="217"/>
      <c r="DJ18" s="217"/>
      <c r="DK18" s="217"/>
      <c r="DL18" s="217"/>
      <c r="DM18" s="217"/>
      <c r="DN18" s="217"/>
      <c r="DO18" s="217"/>
      <c r="DP18" s="218"/>
      <c r="DQ18" s="217"/>
      <c r="DR18" s="217"/>
      <c r="DS18" s="217"/>
      <c r="DT18" s="217"/>
      <c r="DU18" s="217"/>
      <c r="DV18" s="217"/>
      <c r="DW18" s="217"/>
      <c r="DX18" s="217"/>
      <c r="DY18" s="219"/>
    </row>
    <row r="19" spans="1:133" ht="19.95" customHeight="1" x14ac:dyDescent="0.4">
      <c r="A19" s="198">
        <v>6</v>
      </c>
      <c r="B19" s="199"/>
      <c r="C19" s="199"/>
      <c r="D19" s="199"/>
      <c r="E19" s="200" t="s">
        <v>46</v>
      </c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 t="s">
        <v>47</v>
      </c>
      <c r="Q19" s="200"/>
      <c r="R19" s="200"/>
      <c r="S19" s="200"/>
      <c r="T19" s="200"/>
      <c r="U19" s="200"/>
      <c r="V19" s="200"/>
      <c r="W19" s="200"/>
      <c r="X19" s="200"/>
      <c r="Y19" s="200"/>
      <c r="Z19" s="210">
        <v>8.5</v>
      </c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09">
        <f t="shared" si="0"/>
        <v>8.5</v>
      </c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179">
        <v>42.5</v>
      </c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80"/>
      <c r="BM19" s="8"/>
      <c r="BN19" s="8"/>
      <c r="BO19" s="8"/>
      <c r="BP19" s="8"/>
    </row>
    <row r="20" spans="1:133" ht="25.05" customHeight="1" x14ac:dyDescent="0.4">
      <c r="A20" s="198">
        <v>7</v>
      </c>
      <c r="B20" s="199"/>
      <c r="C20" s="199"/>
      <c r="D20" s="199"/>
      <c r="E20" s="200" t="s">
        <v>48</v>
      </c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 t="s">
        <v>49</v>
      </c>
      <c r="Q20" s="200"/>
      <c r="R20" s="200"/>
      <c r="S20" s="200"/>
      <c r="T20" s="200"/>
      <c r="U20" s="200"/>
      <c r="V20" s="200"/>
      <c r="W20" s="200"/>
      <c r="X20" s="200"/>
      <c r="Y20" s="200"/>
      <c r="Z20" s="210">
        <v>6</v>
      </c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09">
        <f t="shared" si="0"/>
        <v>6</v>
      </c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179">
        <v>30</v>
      </c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80"/>
      <c r="BM20" s="8"/>
      <c r="BN20" s="8"/>
      <c r="BO20" s="8"/>
      <c r="BP20" s="111" t="s">
        <v>50</v>
      </c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1"/>
      <c r="DK20" s="111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1"/>
      <c r="DW20" s="111"/>
      <c r="DX20" s="111"/>
      <c r="DY20" s="111"/>
      <c r="EB20" s="1">
        <f>2.8*5</f>
        <v>14</v>
      </c>
      <c r="EC20" s="1">
        <f>5*1.5</f>
        <v>7.5</v>
      </c>
    </row>
    <row r="21" spans="1:133" ht="19.95" customHeight="1" thickBot="1" x14ac:dyDescent="0.45">
      <c r="A21" s="198">
        <v>8</v>
      </c>
      <c r="B21" s="199"/>
      <c r="C21" s="199"/>
      <c r="D21" s="199"/>
      <c r="E21" s="200" t="s">
        <v>51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 t="s">
        <v>52</v>
      </c>
      <c r="Q21" s="200"/>
      <c r="R21" s="200"/>
      <c r="S21" s="200"/>
      <c r="T21" s="200"/>
      <c r="U21" s="200"/>
      <c r="V21" s="200"/>
      <c r="W21" s="200"/>
      <c r="X21" s="200"/>
      <c r="Y21" s="200"/>
      <c r="Z21" s="210">
        <v>7.5</v>
      </c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09">
        <f t="shared" si="0"/>
        <v>7.5</v>
      </c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179">
        <v>25</v>
      </c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80"/>
      <c r="BM21" s="8"/>
      <c r="BN21" s="8"/>
      <c r="BO21" s="8"/>
      <c r="BP21" s="8"/>
      <c r="DY21" s="12"/>
    </row>
    <row r="22" spans="1:133" ht="19.95" customHeight="1" x14ac:dyDescent="0.4">
      <c r="A22" s="198">
        <v>9</v>
      </c>
      <c r="B22" s="199"/>
      <c r="C22" s="199"/>
      <c r="D22" s="199"/>
      <c r="E22" s="206" t="s">
        <v>38</v>
      </c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 t="s">
        <v>53</v>
      </c>
      <c r="Q22" s="206"/>
      <c r="R22" s="206"/>
      <c r="S22" s="206"/>
      <c r="T22" s="206"/>
      <c r="U22" s="206"/>
      <c r="V22" s="206"/>
      <c r="W22" s="206"/>
      <c r="X22" s="206"/>
      <c r="Y22" s="206"/>
      <c r="Z22" s="208">
        <v>25</v>
      </c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9">
        <f t="shared" si="0"/>
        <v>25</v>
      </c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179">
        <v>125</v>
      </c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80"/>
      <c r="BM22" s="8"/>
      <c r="BN22" s="8"/>
      <c r="BO22" s="8"/>
      <c r="BP22" s="211" t="s">
        <v>23</v>
      </c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  <c r="CE22" s="213"/>
      <c r="CF22" s="175" t="s">
        <v>54</v>
      </c>
      <c r="CG22" s="17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 t="s">
        <v>55</v>
      </c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5" t="s">
        <v>56</v>
      </c>
      <c r="DI22" s="175"/>
      <c r="DJ22" s="175"/>
      <c r="DK22" s="175"/>
      <c r="DL22" s="175"/>
      <c r="DM22" s="175"/>
      <c r="DN22" s="175"/>
      <c r="DO22" s="175"/>
      <c r="DP22" s="175"/>
      <c r="DQ22" s="175"/>
      <c r="DR22" s="175"/>
      <c r="DS22" s="175"/>
      <c r="DT22" s="175"/>
      <c r="DU22" s="175"/>
      <c r="DV22" s="175"/>
      <c r="DW22" s="175"/>
      <c r="DX22" s="175"/>
      <c r="DY22" s="177"/>
      <c r="EB22" s="1">
        <f>46*0.33</f>
        <v>15.180000000000001</v>
      </c>
    </row>
    <row r="23" spans="1:133" ht="19.95" customHeight="1" x14ac:dyDescent="0.4">
      <c r="A23" s="198">
        <v>10</v>
      </c>
      <c r="B23" s="199"/>
      <c r="C23" s="199"/>
      <c r="D23" s="199"/>
      <c r="E23" s="206" t="s">
        <v>57</v>
      </c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 t="s">
        <v>58</v>
      </c>
      <c r="Q23" s="206"/>
      <c r="R23" s="206"/>
      <c r="S23" s="206"/>
      <c r="T23" s="206"/>
      <c r="U23" s="206"/>
      <c r="V23" s="206"/>
      <c r="W23" s="206"/>
      <c r="X23" s="206"/>
      <c r="Y23" s="206"/>
      <c r="Z23" s="208">
        <v>20</v>
      </c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9">
        <f t="shared" si="0"/>
        <v>20</v>
      </c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179">
        <v>125</v>
      </c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80"/>
      <c r="BM23" s="8"/>
      <c r="BN23" s="8"/>
      <c r="BO23" s="8"/>
      <c r="BP23" s="214">
        <f>ROUND('설정값 계산'!C43,1)</f>
        <v>33.9</v>
      </c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6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6"/>
      <c r="DH23" s="176"/>
      <c r="DI23" s="176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176"/>
      <c r="DW23" s="176"/>
      <c r="DX23" s="176"/>
      <c r="DY23" s="178"/>
      <c r="EB23" s="1">
        <f>46-EB22</f>
        <v>30.82</v>
      </c>
    </row>
    <row r="24" spans="1:133" ht="19.95" customHeight="1" x14ac:dyDescent="0.4">
      <c r="A24" s="198">
        <v>11</v>
      </c>
      <c r="B24" s="199"/>
      <c r="C24" s="199"/>
      <c r="D24" s="199"/>
      <c r="E24" s="206" t="s">
        <v>59</v>
      </c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 t="s">
        <v>60</v>
      </c>
      <c r="Q24" s="206"/>
      <c r="R24" s="206"/>
      <c r="S24" s="206"/>
      <c r="T24" s="206"/>
      <c r="U24" s="206"/>
      <c r="V24" s="206"/>
      <c r="W24" s="206"/>
      <c r="X24" s="206"/>
      <c r="Y24" s="206"/>
      <c r="Z24" s="208">
        <v>825</v>
      </c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9">
        <f t="shared" si="0"/>
        <v>825</v>
      </c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179">
        <v>4238</v>
      </c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  <c r="BK24" s="179"/>
      <c r="BL24" s="180"/>
      <c r="BM24" s="8"/>
      <c r="BN24" s="8"/>
      <c r="BO24" s="8"/>
      <c r="BP24" s="181" t="s">
        <v>61</v>
      </c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84">
        <f>SUM(Z13:AK24)/SUM(Z13:AK27)</f>
        <v>0.97667398463227217</v>
      </c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205">
        <f>BP23*CF24</f>
        <v>33.109248079034025</v>
      </c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188"/>
      <c r="DI24" s="188"/>
      <c r="DJ24" s="188"/>
      <c r="DK24" s="188"/>
      <c r="DL24" s="188"/>
      <c r="DM24" s="188"/>
      <c r="DN24" s="188"/>
      <c r="DO24" s="188"/>
      <c r="DP24" s="188"/>
      <c r="DQ24" s="188"/>
      <c r="DR24" s="188"/>
      <c r="DS24" s="188"/>
      <c r="DT24" s="188"/>
      <c r="DU24" s="188"/>
      <c r="DV24" s="188"/>
      <c r="DW24" s="188"/>
      <c r="DX24" s="188"/>
      <c r="DY24" s="189"/>
      <c r="EA24" s="1">
        <f>BP23*CF24</f>
        <v>33.109248079034025</v>
      </c>
      <c r="EC24" s="1">
        <f>5*2.5</f>
        <v>12.5</v>
      </c>
    </row>
    <row r="25" spans="1:133" ht="19.95" customHeight="1" x14ac:dyDescent="0.4">
      <c r="A25" s="198"/>
      <c r="B25" s="199"/>
      <c r="C25" s="199"/>
      <c r="D25" s="199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9">
        <f t="shared" si="0"/>
        <v>0</v>
      </c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  <c r="BK25" s="179"/>
      <c r="BL25" s="180"/>
      <c r="BM25" s="8"/>
      <c r="BN25" s="8"/>
      <c r="BO25" s="8"/>
      <c r="BP25" s="181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188"/>
      <c r="DI25" s="188"/>
      <c r="DJ25" s="188"/>
      <c r="DK25" s="188"/>
      <c r="DL25" s="188"/>
      <c r="DM25" s="188"/>
      <c r="DN25" s="188"/>
      <c r="DO25" s="188"/>
      <c r="DP25" s="188"/>
      <c r="DQ25" s="188"/>
      <c r="DR25" s="188"/>
      <c r="DS25" s="188"/>
      <c r="DT25" s="188"/>
      <c r="DU25" s="188"/>
      <c r="DV25" s="188"/>
      <c r="DW25" s="188"/>
      <c r="DX25" s="188"/>
      <c r="DY25" s="189"/>
      <c r="EA25" s="13">
        <f>BP23*CF26</f>
        <v>0.32560373216245886</v>
      </c>
    </row>
    <row r="26" spans="1:133" ht="19.95" customHeight="1" x14ac:dyDescent="0.4">
      <c r="A26" s="198">
        <v>12</v>
      </c>
      <c r="B26" s="199"/>
      <c r="C26" s="199"/>
      <c r="D26" s="199"/>
      <c r="E26" s="206" t="s">
        <v>62</v>
      </c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 t="s">
        <v>63</v>
      </c>
      <c r="Q26" s="206"/>
      <c r="R26" s="206"/>
      <c r="S26" s="206"/>
      <c r="T26" s="206"/>
      <c r="U26" s="206"/>
      <c r="V26" s="206"/>
      <c r="W26" s="206"/>
      <c r="X26" s="206"/>
      <c r="Y26" s="206"/>
      <c r="Z26" s="208">
        <v>14</v>
      </c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9">
        <f t="shared" si="0"/>
        <v>14</v>
      </c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179">
        <v>52</v>
      </c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80"/>
      <c r="BM26" s="8"/>
      <c r="BN26" s="8"/>
      <c r="BO26" s="8"/>
      <c r="BP26" s="181" t="s">
        <v>64</v>
      </c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84">
        <f>Z26/SUM(Z13:AK27)</f>
        <v>9.604829857299671E-3</v>
      </c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6">
        <f>BP23*CF26*1000</f>
        <v>325.60373216245887</v>
      </c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8"/>
      <c r="DI26" s="188"/>
      <c r="DJ26" s="188"/>
      <c r="DK26" s="188"/>
      <c r="DL26" s="188"/>
      <c r="DM26" s="188"/>
      <c r="DN26" s="188"/>
      <c r="DO26" s="188"/>
      <c r="DP26" s="188"/>
      <c r="DQ26" s="188"/>
      <c r="DR26" s="188"/>
      <c r="DS26" s="188"/>
      <c r="DT26" s="188"/>
      <c r="DU26" s="188"/>
      <c r="DV26" s="188"/>
      <c r="DW26" s="188"/>
      <c r="DX26" s="188"/>
      <c r="DY26" s="189"/>
      <c r="EA26" s="13">
        <f>BP23*CF28</f>
        <v>0.46514818880351261</v>
      </c>
    </row>
    <row r="27" spans="1:133" ht="19.95" customHeight="1" x14ac:dyDescent="0.4">
      <c r="A27" s="198">
        <v>13</v>
      </c>
      <c r="B27" s="199"/>
      <c r="C27" s="199"/>
      <c r="D27" s="199"/>
      <c r="E27" s="200" t="s">
        <v>65</v>
      </c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1" t="s">
        <v>66</v>
      </c>
      <c r="Q27" s="201"/>
      <c r="R27" s="201"/>
      <c r="S27" s="201"/>
      <c r="T27" s="201"/>
      <c r="U27" s="201"/>
      <c r="V27" s="201"/>
      <c r="W27" s="201"/>
      <c r="X27" s="201"/>
      <c r="Y27" s="201"/>
      <c r="Z27" s="210">
        <v>20</v>
      </c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09">
        <f t="shared" si="0"/>
        <v>20</v>
      </c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179">
        <v>88</v>
      </c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80"/>
      <c r="BM27" s="8"/>
      <c r="BN27" s="8"/>
      <c r="BO27" s="8"/>
      <c r="BP27" s="181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8"/>
      <c r="DI27" s="188"/>
      <c r="DJ27" s="188"/>
      <c r="DK27" s="188"/>
      <c r="DL27" s="188"/>
      <c r="DM27" s="188"/>
      <c r="DN27" s="188"/>
      <c r="DO27" s="188"/>
      <c r="DP27" s="188"/>
      <c r="DQ27" s="188"/>
      <c r="DR27" s="188"/>
      <c r="DS27" s="188"/>
      <c r="DT27" s="188"/>
      <c r="DU27" s="188"/>
      <c r="DV27" s="188"/>
      <c r="DW27" s="188"/>
      <c r="DX27" s="188"/>
      <c r="DY27" s="189"/>
      <c r="EB27" s="11">
        <f>4.6*10</f>
        <v>46</v>
      </c>
    </row>
    <row r="28" spans="1:133" ht="19.95" customHeight="1" x14ac:dyDescent="0.4">
      <c r="A28" s="198">
        <v>14</v>
      </c>
      <c r="B28" s="199"/>
      <c r="C28" s="199"/>
      <c r="D28" s="199"/>
      <c r="E28" s="200" t="s">
        <v>67</v>
      </c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1" t="s">
        <v>68</v>
      </c>
      <c r="Q28" s="201"/>
      <c r="R28" s="201"/>
      <c r="S28" s="201"/>
      <c r="T28" s="201"/>
      <c r="U28" s="201"/>
      <c r="V28" s="201"/>
      <c r="W28" s="201"/>
      <c r="X28" s="201"/>
      <c r="Y28" s="201"/>
      <c r="Z28" s="202">
        <v>0.33</v>
      </c>
      <c r="AA28" s="202"/>
      <c r="AB28" s="202"/>
      <c r="AC28" s="202"/>
      <c r="AD28" s="202"/>
      <c r="AE28" s="203">
        <f>SUM(Z13:AJ27)/(1-Z28)*Z28</f>
        <v>717.92238805970146</v>
      </c>
      <c r="AF28" s="203"/>
      <c r="AG28" s="203"/>
      <c r="AH28" s="203"/>
      <c r="AI28" s="203"/>
      <c r="AJ28" s="203"/>
      <c r="AK28" s="203"/>
      <c r="AL28" s="204">
        <f>AE28*$DJ$6</f>
        <v>717.92238805970146</v>
      </c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179" t="str">
        <f>Q59</f>
        <v/>
      </c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80"/>
      <c r="BM28" s="8"/>
      <c r="BN28" s="8"/>
      <c r="BO28" s="8"/>
      <c r="BP28" s="181" t="s">
        <v>69</v>
      </c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84">
        <f>Z27/SUM(Z13:AK27)</f>
        <v>1.3721185510428101E-2</v>
      </c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6">
        <f>BP23*CF28*1000</f>
        <v>465.1481888035126</v>
      </c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8"/>
      <c r="DI28" s="188"/>
      <c r="DJ28" s="188"/>
      <c r="DK28" s="188"/>
      <c r="DL28" s="188"/>
      <c r="DM28" s="188"/>
      <c r="DN28" s="188"/>
      <c r="DO28" s="188"/>
      <c r="DP28" s="188"/>
      <c r="DQ28" s="188"/>
      <c r="DR28" s="188"/>
      <c r="DS28" s="188"/>
      <c r="DT28" s="188"/>
      <c r="DU28" s="188"/>
      <c r="DV28" s="188"/>
      <c r="DW28" s="188"/>
      <c r="DX28" s="188"/>
      <c r="DY28" s="189"/>
    </row>
    <row r="29" spans="1:133" ht="25.05" customHeight="1" thickBot="1" x14ac:dyDescent="0.45">
      <c r="A29" s="192" t="s">
        <v>70</v>
      </c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4">
        <f>SUM(Z13:AK27)+AE28</f>
        <v>2175.5223880597014</v>
      </c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5">
        <f>SUM(AL13:AX28)</f>
        <v>2175.5223880597014</v>
      </c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6">
        <f>SUM(AY13:BL28)</f>
        <v>7375.5</v>
      </c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7"/>
      <c r="BM29" s="8"/>
      <c r="BN29" s="8"/>
      <c r="BO29" s="8"/>
      <c r="BP29" s="182"/>
      <c r="BQ29" s="183"/>
      <c r="BR29" s="183"/>
      <c r="BS29" s="183"/>
      <c r="BT29" s="183"/>
      <c r="BU29" s="183"/>
      <c r="BV29" s="183"/>
      <c r="BW29" s="183"/>
      <c r="BX29" s="183"/>
      <c r="BY29" s="183"/>
      <c r="BZ29" s="183"/>
      <c r="CA29" s="183"/>
      <c r="CB29" s="183"/>
      <c r="CC29" s="183"/>
      <c r="CD29" s="183"/>
      <c r="CE29" s="183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187"/>
      <c r="DG29" s="187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1"/>
    </row>
    <row r="30" spans="1:133" ht="19.95" customHeight="1" x14ac:dyDescent="0.4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</row>
    <row r="31" spans="1:133" ht="25.05" customHeight="1" x14ac:dyDescent="0.4">
      <c r="A31" s="166" t="s">
        <v>71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</row>
    <row r="32" spans="1:133" ht="10.050000000000001" customHeight="1" thickBot="1" x14ac:dyDescent="0.45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</row>
    <row r="33" spans="1:130" ht="25.05" customHeight="1" x14ac:dyDescent="0.4">
      <c r="A33" s="167" t="s">
        <v>22</v>
      </c>
      <c r="B33" s="168"/>
      <c r="C33" s="168"/>
      <c r="D33" s="168"/>
      <c r="E33" s="171" t="s">
        <v>72</v>
      </c>
      <c r="F33" s="171"/>
      <c r="G33" s="171"/>
      <c r="H33" s="171"/>
      <c r="I33" s="171"/>
      <c r="J33" s="171"/>
      <c r="K33" s="171" t="s">
        <v>73</v>
      </c>
      <c r="L33" s="171"/>
      <c r="M33" s="171"/>
      <c r="N33" s="171"/>
      <c r="O33" s="171"/>
      <c r="P33" s="171"/>
      <c r="Q33" s="171"/>
      <c r="R33" s="173" t="s">
        <v>74</v>
      </c>
      <c r="S33" s="173"/>
      <c r="T33" s="173"/>
      <c r="U33" s="173"/>
      <c r="V33" s="173"/>
      <c r="W33" s="173"/>
      <c r="X33" s="173"/>
      <c r="Y33" s="173"/>
      <c r="Z33" s="173"/>
      <c r="AA33" s="173" t="s">
        <v>75</v>
      </c>
      <c r="AB33" s="175"/>
      <c r="AC33" s="175"/>
      <c r="AD33" s="175"/>
      <c r="AE33" s="175"/>
      <c r="AF33" s="175"/>
      <c r="AG33" s="175"/>
      <c r="AH33" s="175"/>
      <c r="AI33" s="175"/>
      <c r="AJ33" s="171" t="s">
        <v>76</v>
      </c>
      <c r="AK33" s="171"/>
      <c r="AL33" s="171"/>
      <c r="AM33" s="171"/>
      <c r="AN33" s="171"/>
      <c r="AO33" s="171"/>
      <c r="AP33" s="171"/>
      <c r="AQ33" s="171"/>
      <c r="AR33" s="171"/>
      <c r="AS33" s="171"/>
      <c r="AT33" s="173" t="s">
        <v>77</v>
      </c>
      <c r="AU33" s="173"/>
      <c r="AV33" s="173"/>
      <c r="AW33" s="173"/>
      <c r="AX33" s="173"/>
      <c r="AY33" s="173"/>
      <c r="AZ33" s="173"/>
      <c r="BA33" s="173"/>
      <c r="BB33" s="173"/>
      <c r="BC33" s="173"/>
      <c r="BD33" s="171" t="s">
        <v>78</v>
      </c>
      <c r="BE33" s="171"/>
      <c r="BF33" s="171"/>
      <c r="BG33" s="171"/>
      <c r="BH33" s="171"/>
      <c r="BI33" s="171"/>
      <c r="BJ33" s="171"/>
      <c r="BK33" s="171"/>
      <c r="BL33" s="171"/>
      <c r="BM33" s="171"/>
      <c r="BN33" s="171" t="s">
        <v>79</v>
      </c>
      <c r="BO33" s="171"/>
      <c r="BP33" s="171"/>
      <c r="BQ33" s="171"/>
      <c r="BR33" s="171"/>
      <c r="BS33" s="171"/>
      <c r="BT33" s="171"/>
      <c r="BU33" s="171"/>
      <c r="BV33" s="171"/>
      <c r="BW33" s="171"/>
      <c r="BX33" s="171" t="s">
        <v>80</v>
      </c>
      <c r="BY33" s="171"/>
      <c r="BZ33" s="171"/>
      <c r="CA33" s="171"/>
      <c r="CB33" s="171"/>
      <c r="CC33" s="171"/>
      <c r="CD33" s="171"/>
      <c r="CE33" s="171"/>
      <c r="CF33" s="171"/>
      <c r="CG33" s="171"/>
      <c r="CH33" s="171" t="s">
        <v>81</v>
      </c>
      <c r="CI33" s="171"/>
      <c r="CJ33" s="171"/>
      <c r="CK33" s="171"/>
      <c r="CL33" s="171"/>
      <c r="CM33" s="171"/>
      <c r="CN33" s="171"/>
      <c r="CO33" s="171"/>
      <c r="CP33" s="171"/>
      <c r="CQ33" s="171"/>
      <c r="CR33" s="173" t="s">
        <v>82</v>
      </c>
      <c r="CS33" s="173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5" t="s">
        <v>83</v>
      </c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5"/>
      <c r="DW33" s="175"/>
      <c r="DX33" s="175"/>
      <c r="DY33" s="177"/>
    </row>
    <row r="34" spans="1:130" ht="25.05" customHeight="1" x14ac:dyDescent="0.4">
      <c r="A34" s="169"/>
      <c r="B34" s="170"/>
      <c r="C34" s="170"/>
      <c r="D34" s="170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4"/>
      <c r="S34" s="174"/>
      <c r="T34" s="174"/>
      <c r="U34" s="174"/>
      <c r="V34" s="174"/>
      <c r="W34" s="174"/>
      <c r="X34" s="174"/>
      <c r="Y34" s="174"/>
      <c r="Z34" s="174"/>
      <c r="AA34" s="176"/>
      <c r="AB34" s="176"/>
      <c r="AC34" s="176"/>
      <c r="AD34" s="176"/>
      <c r="AE34" s="176"/>
      <c r="AF34" s="176"/>
      <c r="AG34" s="176"/>
      <c r="AH34" s="176"/>
      <c r="AI34" s="176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4"/>
      <c r="CS34" s="174"/>
      <c r="CT34" s="174"/>
      <c r="CU34" s="174"/>
      <c r="CV34" s="174"/>
      <c r="CW34" s="174"/>
      <c r="CX34" s="174"/>
      <c r="CY34" s="174"/>
      <c r="CZ34" s="174"/>
      <c r="DA34" s="174"/>
      <c r="DB34" s="174"/>
      <c r="DC34" s="174"/>
      <c r="DD34" s="176"/>
      <c r="DE34" s="176"/>
      <c r="DF34" s="176"/>
      <c r="DG34" s="176"/>
      <c r="DH34" s="176"/>
      <c r="DI34" s="176"/>
      <c r="DJ34" s="176"/>
      <c r="DK34" s="176"/>
      <c r="DL34" s="176"/>
      <c r="DM34" s="176"/>
      <c r="DN34" s="176"/>
      <c r="DO34" s="176"/>
      <c r="DP34" s="176"/>
      <c r="DQ34" s="176"/>
      <c r="DR34" s="176"/>
      <c r="DS34" s="176"/>
      <c r="DT34" s="176"/>
      <c r="DU34" s="176"/>
      <c r="DV34" s="176"/>
      <c r="DW34" s="176"/>
      <c r="DX34" s="176"/>
      <c r="DY34" s="178"/>
    </row>
    <row r="35" spans="1:130" ht="25.05" customHeight="1" x14ac:dyDescent="0.4">
      <c r="A35" s="135">
        <v>1</v>
      </c>
      <c r="B35" s="136"/>
      <c r="C35" s="136"/>
      <c r="D35" s="136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61">
        <v>1100</v>
      </c>
      <c r="S35" s="161"/>
      <c r="T35" s="161"/>
      <c r="U35" s="161"/>
      <c r="V35" s="161"/>
      <c r="W35" s="161"/>
      <c r="X35" s="161"/>
      <c r="Y35" s="161"/>
      <c r="Z35" s="161"/>
      <c r="AA35" s="159">
        <v>10</v>
      </c>
      <c r="AB35" s="159"/>
      <c r="AC35" s="159"/>
      <c r="AD35" s="159"/>
      <c r="AE35" s="159"/>
      <c r="AF35" s="159"/>
      <c r="AG35" s="159"/>
      <c r="AH35" s="159"/>
      <c r="AI35" s="159"/>
      <c r="AJ35" s="159" t="s">
        <v>84</v>
      </c>
      <c r="AK35" s="159"/>
      <c r="AL35" s="159"/>
      <c r="AM35" s="159"/>
      <c r="AN35" s="159"/>
      <c r="AO35" s="159"/>
      <c r="AP35" s="159"/>
      <c r="AQ35" s="159"/>
      <c r="AR35" s="159"/>
      <c r="AS35" s="159"/>
      <c r="AT35" s="159" t="s">
        <v>85</v>
      </c>
      <c r="AU35" s="159"/>
      <c r="AV35" s="159"/>
      <c r="AW35" s="159"/>
      <c r="AX35" s="159"/>
      <c r="AY35" s="159"/>
      <c r="AZ35" s="159"/>
      <c r="BA35" s="159"/>
      <c r="BB35" s="159"/>
      <c r="BC35" s="159"/>
      <c r="BD35" s="162" t="s">
        <v>86</v>
      </c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  <c r="BX35" s="158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  <c r="DC35" s="159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  <c r="DQ35" s="164"/>
      <c r="DR35" s="164"/>
      <c r="DS35" s="164"/>
      <c r="DT35" s="164"/>
      <c r="DU35" s="164"/>
      <c r="DV35" s="164"/>
      <c r="DW35" s="164"/>
      <c r="DX35" s="164"/>
      <c r="DY35" s="165"/>
    </row>
    <row r="36" spans="1:130" ht="25.05" customHeight="1" x14ac:dyDescent="0.4">
      <c r="A36" s="135">
        <v>2</v>
      </c>
      <c r="B36" s="136"/>
      <c r="C36" s="136"/>
      <c r="D36" s="136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61"/>
      <c r="S36" s="161"/>
      <c r="T36" s="161"/>
      <c r="U36" s="161"/>
      <c r="V36" s="161"/>
      <c r="W36" s="161"/>
      <c r="X36" s="161"/>
      <c r="Y36" s="161"/>
      <c r="Z36" s="161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60"/>
    </row>
    <row r="37" spans="1:130" ht="25.05" customHeight="1" x14ac:dyDescent="0.4">
      <c r="A37" s="135">
        <v>3</v>
      </c>
      <c r="B37" s="136"/>
      <c r="C37" s="136"/>
      <c r="D37" s="136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61"/>
      <c r="S37" s="161"/>
      <c r="T37" s="161"/>
      <c r="U37" s="161"/>
      <c r="V37" s="161"/>
      <c r="W37" s="161"/>
      <c r="X37" s="161"/>
      <c r="Y37" s="161"/>
      <c r="Z37" s="161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2"/>
      <c r="BU37" s="162"/>
      <c r="BV37" s="162"/>
      <c r="BW37" s="162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4"/>
      <c r="DR37" s="164"/>
      <c r="DS37" s="164"/>
      <c r="DT37" s="164"/>
      <c r="DU37" s="164"/>
      <c r="DV37" s="164"/>
      <c r="DW37" s="164"/>
      <c r="DX37" s="164"/>
      <c r="DY37" s="165"/>
    </row>
    <row r="38" spans="1:130" ht="25.05" customHeight="1" x14ac:dyDescent="0.4">
      <c r="A38" s="135">
        <v>4</v>
      </c>
      <c r="B38" s="136"/>
      <c r="C38" s="136"/>
      <c r="D38" s="136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61"/>
      <c r="S38" s="161"/>
      <c r="T38" s="161"/>
      <c r="U38" s="161"/>
      <c r="V38" s="161"/>
      <c r="W38" s="161"/>
      <c r="X38" s="161"/>
      <c r="Y38" s="161"/>
      <c r="Z38" s="161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62"/>
      <c r="BE38" s="162"/>
      <c r="BF38" s="162"/>
      <c r="BG38" s="162"/>
      <c r="BH38" s="162"/>
      <c r="BI38" s="162"/>
      <c r="BJ38" s="162"/>
      <c r="BK38" s="162"/>
      <c r="BL38" s="162"/>
      <c r="BM38" s="162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164"/>
      <c r="DR38" s="164"/>
      <c r="DS38" s="164"/>
      <c r="DT38" s="164"/>
      <c r="DU38" s="164"/>
      <c r="DV38" s="164"/>
      <c r="DW38" s="164"/>
      <c r="DX38" s="164"/>
      <c r="DY38" s="165"/>
    </row>
    <row r="39" spans="1:130" ht="25.05" customHeight="1" x14ac:dyDescent="0.4">
      <c r="A39" s="135">
        <v>5</v>
      </c>
      <c r="B39" s="136"/>
      <c r="C39" s="136"/>
      <c r="D39" s="136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61"/>
      <c r="S39" s="161"/>
      <c r="T39" s="161"/>
      <c r="U39" s="161"/>
      <c r="V39" s="161"/>
      <c r="W39" s="161"/>
      <c r="X39" s="161"/>
      <c r="Y39" s="161"/>
      <c r="Z39" s="161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  <c r="DC39" s="159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  <c r="DO39" s="164"/>
      <c r="DP39" s="164"/>
      <c r="DQ39" s="164"/>
      <c r="DR39" s="164"/>
      <c r="DS39" s="164"/>
      <c r="DT39" s="164"/>
      <c r="DU39" s="164"/>
      <c r="DV39" s="164"/>
      <c r="DW39" s="164"/>
      <c r="DX39" s="164"/>
      <c r="DY39" s="165"/>
    </row>
    <row r="40" spans="1:130" ht="25.05" customHeight="1" x14ac:dyDescent="0.4">
      <c r="A40" s="135">
        <v>6</v>
      </c>
      <c r="B40" s="136"/>
      <c r="C40" s="136"/>
      <c r="D40" s="136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61"/>
      <c r="S40" s="161"/>
      <c r="T40" s="161"/>
      <c r="U40" s="161"/>
      <c r="V40" s="161"/>
      <c r="W40" s="161"/>
      <c r="X40" s="161"/>
      <c r="Y40" s="161"/>
      <c r="Z40" s="161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2"/>
      <c r="BW40" s="162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  <c r="DC40" s="159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  <c r="DO40" s="164"/>
      <c r="DP40" s="164"/>
      <c r="DQ40" s="164"/>
      <c r="DR40" s="164"/>
      <c r="DS40" s="164"/>
      <c r="DT40" s="164"/>
      <c r="DU40" s="164"/>
      <c r="DV40" s="164"/>
      <c r="DW40" s="164"/>
      <c r="DX40" s="164"/>
      <c r="DY40" s="165"/>
    </row>
    <row r="41" spans="1:130" ht="25.05" customHeight="1" x14ac:dyDescent="0.4">
      <c r="A41" s="135">
        <v>7</v>
      </c>
      <c r="B41" s="136"/>
      <c r="C41" s="136"/>
      <c r="D41" s="136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61"/>
      <c r="S41" s="161"/>
      <c r="T41" s="161"/>
      <c r="U41" s="161"/>
      <c r="V41" s="161"/>
      <c r="W41" s="161"/>
      <c r="X41" s="161"/>
      <c r="Y41" s="161"/>
      <c r="Z41" s="161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2"/>
      <c r="BW41" s="162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  <c r="DO41" s="164"/>
      <c r="DP41" s="164"/>
      <c r="DQ41" s="164"/>
      <c r="DR41" s="164"/>
      <c r="DS41" s="164"/>
      <c r="DT41" s="164"/>
      <c r="DU41" s="164"/>
      <c r="DV41" s="164"/>
      <c r="DW41" s="164"/>
      <c r="DX41" s="164"/>
      <c r="DY41" s="165"/>
    </row>
    <row r="42" spans="1:130" ht="25.05" customHeight="1" x14ac:dyDescent="0.4">
      <c r="A42" s="135">
        <v>8</v>
      </c>
      <c r="B42" s="136"/>
      <c r="C42" s="136"/>
      <c r="D42" s="136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61"/>
      <c r="S42" s="161"/>
      <c r="T42" s="161"/>
      <c r="U42" s="161"/>
      <c r="V42" s="161"/>
      <c r="W42" s="161"/>
      <c r="X42" s="161"/>
      <c r="Y42" s="161"/>
      <c r="Z42" s="161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2"/>
      <c r="BO42" s="162"/>
      <c r="BP42" s="162"/>
      <c r="BQ42" s="162"/>
      <c r="BR42" s="162"/>
      <c r="BS42" s="162"/>
      <c r="BT42" s="162"/>
      <c r="BU42" s="162"/>
      <c r="BV42" s="162"/>
      <c r="BW42" s="162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60"/>
    </row>
    <row r="43" spans="1:130" ht="25.05" customHeight="1" x14ac:dyDescent="0.4">
      <c r="A43" s="135">
        <v>9</v>
      </c>
      <c r="B43" s="136"/>
      <c r="C43" s="136"/>
      <c r="D43" s="136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61"/>
      <c r="S43" s="161"/>
      <c r="T43" s="161"/>
      <c r="U43" s="161"/>
      <c r="V43" s="161"/>
      <c r="W43" s="161"/>
      <c r="X43" s="161"/>
      <c r="Y43" s="161"/>
      <c r="Z43" s="161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62"/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159"/>
      <c r="DJ43" s="159"/>
      <c r="DK43" s="159"/>
      <c r="DL43" s="159"/>
      <c r="DM43" s="159"/>
      <c r="DN43" s="159"/>
      <c r="DO43" s="159"/>
      <c r="DP43" s="159"/>
      <c r="DQ43" s="159"/>
      <c r="DR43" s="159"/>
      <c r="DS43" s="159"/>
      <c r="DT43" s="159"/>
      <c r="DU43" s="159"/>
      <c r="DV43" s="159"/>
      <c r="DW43" s="159"/>
      <c r="DX43" s="159"/>
      <c r="DY43" s="160"/>
    </row>
    <row r="44" spans="1:130" ht="25.05" customHeight="1" x14ac:dyDescent="0.4">
      <c r="A44" s="135">
        <v>10</v>
      </c>
      <c r="B44" s="136"/>
      <c r="C44" s="136"/>
      <c r="D44" s="136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61"/>
      <c r="S44" s="161"/>
      <c r="T44" s="161"/>
      <c r="U44" s="161"/>
      <c r="V44" s="161"/>
      <c r="W44" s="161"/>
      <c r="X44" s="161"/>
      <c r="Y44" s="161"/>
      <c r="Z44" s="161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  <c r="DC44" s="159"/>
      <c r="DD44" s="159"/>
      <c r="DE44" s="159"/>
      <c r="DF44" s="159"/>
      <c r="DG44" s="159"/>
      <c r="DH44" s="159"/>
      <c r="DI44" s="159"/>
      <c r="DJ44" s="159"/>
      <c r="DK44" s="159"/>
      <c r="DL44" s="159"/>
      <c r="DM44" s="159"/>
      <c r="DN44" s="159"/>
      <c r="DO44" s="159"/>
      <c r="DP44" s="159"/>
      <c r="DQ44" s="159"/>
      <c r="DR44" s="159"/>
      <c r="DS44" s="159"/>
      <c r="DT44" s="159"/>
      <c r="DU44" s="159"/>
      <c r="DV44" s="159"/>
      <c r="DW44" s="159"/>
      <c r="DX44" s="159"/>
      <c r="DY44" s="160"/>
    </row>
    <row r="45" spans="1:130" ht="25.05" customHeight="1" x14ac:dyDescent="0.4">
      <c r="A45" s="135">
        <v>11</v>
      </c>
      <c r="B45" s="136"/>
      <c r="C45" s="136"/>
      <c r="D45" s="136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61"/>
      <c r="S45" s="161"/>
      <c r="T45" s="161"/>
      <c r="U45" s="161"/>
      <c r="V45" s="161"/>
      <c r="W45" s="161"/>
      <c r="X45" s="161"/>
      <c r="Y45" s="161"/>
      <c r="Z45" s="161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60"/>
    </row>
    <row r="46" spans="1:130" ht="25.05" customHeight="1" x14ac:dyDescent="0.4">
      <c r="A46" s="135">
        <v>12</v>
      </c>
      <c r="B46" s="136"/>
      <c r="C46" s="136"/>
      <c r="D46" s="136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61"/>
      <c r="S46" s="161"/>
      <c r="T46" s="161"/>
      <c r="U46" s="161"/>
      <c r="V46" s="161"/>
      <c r="W46" s="161"/>
      <c r="X46" s="161"/>
      <c r="Y46" s="161"/>
      <c r="Z46" s="161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60"/>
    </row>
    <row r="47" spans="1:130" ht="25.05" customHeight="1" x14ac:dyDescent="0.4">
      <c r="A47" s="135">
        <v>13</v>
      </c>
      <c r="B47" s="136"/>
      <c r="C47" s="136"/>
      <c r="D47" s="136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61"/>
      <c r="S47" s="161"/>
      <c r="T47" s="161"/>
      <c r="U47" s="161"/>
      <c r="V47" s="161"/>
      <c r="W47" s="161"/>
      <c r="X47" s="161"/>
      <c r="Y47" s="161"/>
      <c r="Z47" s="161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  <c r="DO47" s="159"/>
      <c r="DP47" s="159"/>
      <c r="DQ47" s="159"/>
      <c r="DR47" s="159"/>
      <c r="DS47" s="159"/>
      <c r="DT47" s="159"/>
      <c r="DU47" s="159"/>
      <c r="DV47" s="159"/>
      <c r="DW47" s="159"/>
      <c r="DX47" s="159"/>
      <c r="DY47" s="160"/>
    </row>
    <row r="48" spans="1:130" s="16" customFormat="1" ht="25.05" customHeight="1" x14ac:dyDescent="0.4">
      <c r="A48" s="135">
        <v>14</v>
      </c>
      <c r="B48" s="136"/>
      <c r="C48" s="136"/>
      <c r="D48" s="136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61"/>
      <c r="S48" s="161"/>
      <c r="T48" s="161"/>
      <c r="U48" s="161"/>
      <c r="V48" s="161"/>
      <c r="W48" s="161"/>
      <c r="X48" s="161"/>
      <c r="Y48" s="161"/>
      <c r="Z48" s="161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62"/>
      <c r="BE48" s="162"/>
      <c r="BF48" s="162"/>
      <c r="BG48" s="162"/>
      <c r="BH48" s="162"/>
      <c r="BI48" s="162"/>
      <c r="BJ48" s="162"/>
      <c r="BK48" s="162"/>
      <c r="BL48" s="162"/>
      <c r="BM48" s="162"/>
      <c r="BN48" s="162"/>
      <c r="BO48" s="162"/>
      <c r="BP48" s="162"/>
      <c r="BQ48" s="162"/>
      <c r="BR48" s="162"/>
      <c r="BS48" s="162"/>
      <c r="BT48" s="162"/>
      <c r="BU48" s="162"/>
      <c r="BV48" s="162"/>
      <c r="BW48" s="162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60"/>
      <c r="DZ48" s="1"/>
    </row>
    <row r="49" spans="1:139" ht="25.05" hidden="1" customHeight="1" x14ac:dyDescent="0.4">
      <c r="A49" s="135">
        <v>15</v>
      </c>
      <c r="B49" s="136"/>
      <c r="C49" s="136"/>
      <c r="D49" s="136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7"/>
      <c r="CL49" s="17"/>
      <c r="CM49" s="17"/>
      <c r="CN49" s="17"/>
      <c r="CO49" s="17"/>
      <c r="CP49" s="17"/>
      <c r="CQ49" s="17"/>
      <c r="CR49" s="18"/>
      <c r="CS49" s="18"/>
      <c r="CT49" s="18"/>
      <c r="CU49" s="18"/>
      <c r="CV49" s="18"/>
      <c r="CW49" s="18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20"/>
      <c r="EA49" s="152"/>
      <c r="EB49" s="152"/>
      <c r="EC49" s="152"/>
      <c r="ED49" s="152"/>
      <c r="EE49" s="152"/>
      <c r="EF49" s="152"/>
      <c r="EG49" s="152"/>
      <c r="EH49" s="152"/>
      <c r="EI49" s="152"/>
    </row>
    <row r="50" spans="1:139" ht="25.05" hidden="1" customHeight="1" thickBot="1" x14ac:dyDescent="0.45">
      <c r="A50" s="135">
        <v>16</v>
      </c>
      <c r="B50" s="136"/>
      <c r="C50" s="136"/>
      <c r="D50" s="136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7"/>
      <c r="CL50" s="17"/>
      <c r="CM50" s="17"/>
      <c r="CN50" s="17"/>
      <c r="CO50" s="17"/>
      <c r="CP50" s="17"/>
      <c r="CQ50" s="17"/>
      <c r="CR50" s="18"/>
      <c r="CS50" s="18"/>
      <c r="CT50" s="18"/>
      <c r="CU50" s="18"/>
      <c r="CV50" s="18"/>
      <c r="CW50" s="18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20"/>
    </row>
    <row r="51" spans="1:139" ht="25.05" hidden="1" customHeight="1" thickBot="1" x14ac:dyDescent="0.45">
      <c r="A51" s="135">
        <v>17</v>
      </c>
      <c r="B51" s="136"/>
      <c r="C51" s="136"/>
      <c r="D51" s="136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7"/>
      <c r="CL51" s="17"/>
      <c r="CM51" s="17"/>
      <c r="CN51" s="17"/>
      <c r="CO51" s="17"/>
      <c r="CP51" s="17"/>
      <c r="CQ51" s="17"/>
      <c r="CR51" s="18"/>
      <c r="CS51" s="18"/>
      <c r="CT51" s="18"/>
      <c r="CU51" s="18"/>
      <c r="CV51" s="18"/>
      <c r="CW51" s="18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20"/>
    </row>
    <row r="52" spans="1:139" ht="25.05" customHeight="1" thickBot="1" x14ac:dyDescent="0.45">
      <c r="A52" s="121" t="s">
        <v>87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52"/>
      <c r="S52" s="152"/>
      <c r="T52" s="152"/>
      <c r="U52" s="152"/>
      <c r="V52" s="152"/>
      <c r="W52" s="152"/>
      <c r="X52" s="152"/>
      <c r="Y52" s="152"/>
      <c r="Z52" s="152"/>
      <c r="AA52" s="153"/>
      <c r="AB52" s="153"/>
      <c r="AC52" s="153"/>
      <c r="AD52" s="153"/>
      <c r="AE52" s="153"/>
      <c r="AF52" s="153"/>
      <c r="AG52" s="153"/>
      <c r="AH52" s="153"/>
      <c r="AI52" s="153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7">
        <f>SUM(CH35:CQ51)</f>
        <v>0</v>
      </c>
      <c r="CI52" s="157"/>
      <c r="CJ52" s="157"/>
      <c r="CK52" s="157"/>
      <c r="CL52" s="157"/>
      <c r="CM52" s="157"/>
      <c r="CN52" s="157"/>
      <c r="CO52" s="157"/>
      <c r="CP52" s="157"/>
      <c r="CQ52" s="157"/>
      <c r="CR52" s="122" t="s">
        <v>88</v>
      </c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48">
        <f>IF(N(AY29)=0,"",CH52/AY29)</f>
        <v>0</v>
      </c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48"/>
      <c r="DQ52" s="148"/>
      <c r="DR52" s="148"/>
      <c r="DS52" s="148"/>
      <c r="DT52" s="148"/>
      <c r="DU52" s="148"/>
      <c r="DV52" s="148"/>
      <c r="DW52" s="148"/>
      <c r="DX52" s="148"/>
      <c r="DY52" s="149"/>
    </row>
    <row r="53" spans="1:139" ht="19.2" customHeight="1" x14ac:dyDescent="0.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126"/>
      <c r="CE53" s="126"/>
      <c r="CF53" s="126"/>
      <c r="CG53" s="126"/>
      <c r="CH53" s="126"/>
      <c r="CI53" s="126"/>
      <c r="CJ53" s="126"/>
      <c r="CK53" s="126"/>
      <c r="CL53" s="126"/>
      <c r="CM53" s="126"/>
      <c r="CN53" s="126"/>
      <c r="CO53" s="126"/>
      <c r="CP53" s="150"/>
      <c r="CQ53" s="150"/>
      <c r="CR53" s="150"/>
      <c r="CS53" s="150"/>
      <c r="CT53" s="150"/>
      <c r="CU53" s="150"/>
      <c r="CV53" s="150"/>
      <c r="CW53" s="150"/>
      <c r="CX53" s="150"/>
      <c r="CY53" s="150"/>
      <c r="CZ53" s="150"/>
      <c r="DA53" s="150"/>
      <c r="DB53" s="150"/>
      <c r="DC53" s="22"/>
      <c r="DD53" s="22"/>
      <c r="DE53" s="22"/>
      <c r="DF53" s="22"/>
      <c r="DG53" s="22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</row>
    <row r="54" spans="1:139" ht="25.05" customHeight="1" x14ac:dyDescent="0.4">
      <c r="A54" s="111" t="s">
        <v>89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21"/>
      <c r="BN54" s="21"/>
      <c r="BO54" s="21"/>
      <c r="BP54" s="111" t="s">
        <v>90</v>
      </c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  <c r="DB54" s="111"/>
      <c r="DC54" s="111"/>
      <c r="DD54" s="111"/>
      <c r="DE54" s="111"/>
      <c r="DF54" s="111"/>
      <c r="DG54" s="111"/>
      <c r="DH54" s="111"/>
      <c r="DI54" s="111"/>
      <c r="DJ54" s="111"/>
      <c r="DK54" s="111"/>
      <c r="DL54" s="111"/>
      <c r="DM54" s="111"/>
      <c r="DN54" s="111"/>
      <c r="DO54" s="111"/>
      <c r="DP54" s="111"/>
      <c r="DQ54" s="111"/>
      <c r="DR54" s="111"/>
      <c r="DS54" s="111"/>
      <c r="DT54" s="111"/>
      <c r="DU54" s="111"/>
      <c r="DV54" s="111"/>
      <c r="DW54" s="111"/>
      <c r="DX54" s="111"/>
      <c r="DY54" s="111"/>
    </row>
    <row r="55" spans="1:139" ht="10.050000000000001" customHeight="1" thickBot="1" x14ac:dyDescent="0.4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</row>
    <row r="56" spans="1:139" ht="25.05" customHeight="1" x14ac:dyDescent="0.4">
      <c r="A56" s="139" t="s">
        <v>91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1" t="s">
        <v>92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 t="s">
        <v>92</v>
      </c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 t="s">
        <v>93</v>
      </c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 t="s">
        <v>93</v>
      </c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2"/>
      <c r="BN56" s="21"/>
      <c r="BO56" s="21"/>
      <c r="BP56" s="143" t="s">
        <v>94</v>
      </c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 t="s">
        <v>95</v>
      </c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44"/>
      <c r="DD56" s="144"/>
      <c r="DE56" s="144"/>
      <c r="DF56" s="144" t="s">
        <v>96</v>
      </c>
      <c r="DG56" s="144"/>
      <c r="DH56" s="144"/>
      <c r="DI56" s="144"/>
      <c r="DJ56" s="144"/>
      <c r="DK56" s="144"/>
      <c r="DL56" s="144"/>
      <c r="DM56" s="144"/>
      <c r="DN56" s="144"/>
      <c r="DO56" s="144"/>
      <c r="DP56" s="144" t="s">
        <v>97</v>
      </c>
      <c r="DQ56" s="144"/>
      <c r="DR56" s="144"/>
      <c r="DS56" s="144"/>
      <c r="DT56" s="144"/>
      <c r="DU56" s="144"/>
      <c r="DV56" s="144"/>
      <c r="DW56" s="144"/>
      <c r="DX56" s="144"/>
      <c r="DY56" s="145"/>
    </row>
    <row r="57" spans="1:139" ht="25.05" customHeight="1" x14ac:dyDescent="0.4">
      <c r="A57" s="135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7"/>
      <c r="BM57" s="21"/>
      <c r="BN57" s="21"/>
      <c r="BO57" s="21"/>
      <c r="BP57" s="131" t="s">
        <v>98</v>
      </c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 t="s">
        <v>99</v>
      </c>
      <c r="CF57" s="132"/>
      <c r="CG57" s="132"/>
      <c r="CH57" s="132"/>
      <c r="CI57" s="132"/>
      <c r="CJ57" s="132"/>
      <c r="CK57" s="132"/>
      <c r="CL57" s="132"/>
      <c r="CM57" s="132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34"/>
    </row>
    <row r="58" spans="1:139" ht="25.05" customHeight="1" x14ac:dyDescent="0.4">
      <c r="A58" s="135" t="s">
        <v>100</v>
      </c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8"/>
      <c r="BM58" s="21"/>
      <c r="BN58" s="21"/>
      <c r="BO58" s="21"/>
      <c r="BP58" s="131" t="s">
        <v>101</v>
      </c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 t="s">
        <v>102</v>
      </c>
      <c r="CF58" s="132"/>
      <c r="CG58" s="132"/>
      <c r="CH58" s="132"/>
      <c r="CI58" s="132"/>
      <c r="CJ58" s="132"/>
      <c r="CK58" s="132"/>
      <c r="CL58" s="132"/>
      <c r="CM58" s="132"/>
      <c r="CN58" s="132"/>
      <c r="CO58" s="132"/>
      <c r="CP58" s="132"/>
      <c r="CQ58" s="132"/>
      <c r="CR58" s="132"/>
      <c r="CS58" s="132"/>
      <c r="CT58" s="132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34"/>
    </row>
    <row r="59" spans="1:139" ht="25.05" customHeight="1" x14ac:dyDescent="0.4">
      <c r="A59" s="135" t="s">
        <v>103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7" t="str">
        <f>IF(COUNT(Q58:BL58)=0,"",AVERAGE(Q58:BL58)*96)</f>
        <v/>
      </c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8"/>
      <c r="BM59" s="21"/>
      <c r="BN59" s="21"/>
      <c r="BO59" s="21"/>
      <c r="BP59" s="131" t="s">
        <v>104</v>
      </c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32" t="s">
        <v>105</v>
      </c>
      <c r="CF59" s="132"/>
      <c r="CG59" s="132"/>
      <c r="CH59" s="132"/>
      <c r="CI59" s="132"/>
      <c r="CJ59" s="132"/>
      <c r="CK59" s="132"/>
      <c r="CL59" s="132"/>
      <c r="CM59" s="132"/>
      <c r="CN59" s="132"/>
      <c r="CO59" s="132"/>
      <c r="CP59" s="132"/>
      <c r="CQ59" s="132"/>
      <c r="CR59" s="132"/>
      <c r="CS59" s="132"/>
      <c r="CT59" s="132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34"/>
    </row>
    <row r="60" spans="1:139" ht="25.05" customHeight="1" thickBot="1" x14ac:dyDescent="0.45">
      <c r="A60" s="127" t="s">
        <v>106</v>
      </c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9" t="str">
        <f>IF(OR(N(Q59)=0,N(CH52)=0),"",Q59/CH52)</f>
        <v/>
      </c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30"/>
      <c r="BM60" s="21"/>
      <c r="BN60" s="21"/>
      <c r="BO60" s="21"/>
      <c r="BP60" s="131" t="s">
        <v>107</v>
      </c>
      <c r="BQ60" s="132"/>
      <c r="BR60" s="132"/>
      <c r="BS60" s="132"/>
      <c r="BT60" s="132"/>
      <c r="BU60" s="132"/>
      <c r="BV60" s="132"/>
      <c r="BW60" s="132"/>
      <c r="BX60" s="132"/>
      <c r="BY60" s="132"/>
      <c r="BZ60" s="132"/>
      <c r="CA60" s="132"/>
      <c r="CB60" s="132"/>
      <c r="CC60" s="132"/>
      <c r="CD60" s="132"/>
      <c r="CE60" s="132" t="s">
        <v>108</v>
      </c>
      <c r="CF60" s="132"/>
      <c r="CG60" s="132"/>
      <c r="CH60" s="132"/>
      <c r="CI60" s="132"/>
      <c r="CJ60" s="132"/>
      <c r="CK60" s="132"/>
      <c r="CL60" s="132"/>
      <c r="CM60" s="132"/>
      <c r="CN60" s="132"/>
      <c r="CO60" s="132"/>
      <c r="CP60" s="132"/>
      <c r="CQ60" s="132"/>
      <c r="CR60" s="132"/>
      <c r="CS60" s="132"/>
      <c r="CT60" s="132"/>
      <c r="CU60" s="132"/>
      <c r="CV60" s="132"/>
      <c r="CW60" s="132"/>
      <c r="CX60" s="132"/>
      <c r="CY60" s="132"/>
      <c r="CZ60" s="132"/>
      <c r="DA60" s="132"/>
      <c r="DB60" s="132"/>
      <c r="DC60" s="132"/>
      <c r="DD60" s="132"/>
      <c r="DE60" s="132"/>
      <c r="DF60" s="133"/>
      <c r="DG60" s="133"/>
      <c r="DH60" s="133"/>
      <c r="DI60" s="133"/>
      <c r="DJ60" s="133"/>
      <c r="DK60" s="133"/>
      <c r="DL60" s="133"/>
      <c r="DM60" s="133"/>
      <c r="DN60" s="133"/>
      <c r="DO60" s="133"/>
      <c r="DP60" s="133"/>
      <c r="DQ60" s="133"/>
      <c r="DR60" s="133"/>
      <c r="DS60" s="133"/>
      <c r="DT60" s="133"/>
      <c r="DU60" s="133"/>
      <c r="DV60" s="133"/>
      <c r="DW60" s="133"/>
      <c r="DX60" s="133"/>
      <c r="DY60" s="134"/>
    </row>
    <row r="61" spans="1:139" ht="25.05" customHeight="1" thickBot="1" x14ac:dyDescent="0.4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5"/>
      <c r="BN61" s="21"/>
      <c r="BO61" s="21"/>
      <c r="BP61" s="121" t="s">
        <v>109</v>
      </c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 t="s">
        <v>110</v>
      </c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3"/>
      <c r="DG61" s="123"/>
      <c r="DH61" s="123"/>
      <c r="DI61" s="123"/>
      <c r="DJ61" s="123"/>
      <c r="DK61" s="123"/>
      <c r="DL61" s="123"/>
      <c r="DM61" s="123"/>
      <c r="DN61" s="123"/>
      <c r="DO61" s="123"/>
      <c r="DP61" s="123"/>
      <c r="DQ61" s="123"/>
      <c r="DR61" s="123"/>
      <c r="DS61" s="123"/>
      <c r="DT61" s="123"/>
      <c r="DU61" s="123"/>
      <c r="DV61" s="123"/>
      <c r="DW61" s="123"/>
      <c r="DX61" s="123"/>
      <c r="DY61" s="124"/>
    </row>
    <row r="62" spans="1:139" ht="25.05" customHeight="1" x14ac:dyDescent="0.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1"/>
      <c r="BO62" s="21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/>
      <c r="CG62" s="126"/>
      <c r="CH62" s="126"/>
      <c r="CI62" s="126"/>
      <c r="CJ62" s="126"/>
      <c r="CK62" s="126"/>
      <c r="CL62" s="126"/>
      <c r="CM62" s="126"/>
      <c r="CN62" s="126"/>
      <c r="CO62" s="126"/>
      <c r="CP62" s="126"/>
      <c r="CQ62" s="126"/>
      <c r="CR62" s="126"/>
      <c r="CS62" s="126"/>
      <c r="CT62" s="126"/>
      <c r="CU62" s="126"/>
      <c r="CV62" s="126"/>
      <c r="CW62" s="126"/>
      <c r="CX62" s="126"/>
      <c r="CY62" s="126"/>
      <c r="CZ62" s="126"/>
      <c r="DA62" s="126"/>
      <c r="DB62" s="126"/>
      <c r="DC62" s="126"/>
      <c r="DD62" s="126"/>
      <c r="DE62" s="21"/>
      <c r="DF62" s="126"/>
      <c r="DG62" s="126"/>
      <c r="DH62" s="126"/>
      <c r="DI62" s="126"/>
      <c r="DJ62" s="126"/>
      <c r="DK62" s="126"/>
      <c r="DL62" s="126"/>
      <c r="DM62" s="126"/>
      <c r="DN62" s="126"/>
      <c r="DO62" s="126"/>
      <c r="DP62" s="126"/>
      <c r="DQ62" s="126"/>
      <c r="DR62" s="126"/>
      <c r="DS62" s="126"/>
      <c r="DT62" s="126"/>
      <c r="DU62" s="126"/>
      <c r="DV62" s="126"/>
      <c r="DW62" s="126"/>
      <c r="DX62" s="126"/>
      <c r="DY62" s="126"/>
    </row>
    <row r="63" spans="1:139" ht="25.2" x14ac:dyDescent="0.4">
      <c r="A63" s="111" t="s">
        <v>111</v>
      </c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  <c r="DB63" s="111"/>
      <c r="DC63" s="111"/>
      <c r="DD63" s="111"/>
      <c r="DE63" s="111"/>
      <c r="DF63" s="111"/>
      <c r="DG63" s="111"/>
      <c r="DH63" s="111"/>
      <c r="DI63" s="111"/>
      <c r="DJ63" s="111"/>
      <c r="DK63" s="111"/>
      <c r="DL63" s="111"/>
      <c r="DM63" s="111"/>
      <c r="DN63" s="111"/>
      <c r="DO63" s="111"/>
      <c r="DP63" s="111"/>
      <c r="DQ63" s="111"/>
      <c r="DR63" s="111"/>
      <c r="DS63" s="111"/>
      <c r="DT63" s="111"/>
      <c r="DU63" s="111"/>
      <c r="DV63" s="111"/>
      <c r="DW63" s="111"/>
      <c r="DX63" s="111"/>
      <c r="DY63" s="111"/>
    </row>
    <row r="64" spans="1:139" ht="10.050000000000001" customHeight="1" thickBot="1" x14ac:dyDescent="0.45"/>
    <row r="65" spans="1:129" ht="30" customHeight="1" x14ac:dyDescent="0.4">
      <c r="A65" s="112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13"/>
      <c r="CG65" s="113"/>
      <c r="CH65" s="113"/>
      <c r="CI65" s="113"/>
      <c r="CJ65" s="113"/>
      <c r="CK65" s="113"/>
      <c r="CL65" s="113"/>
      <c r="CM65" s="113"/>
      <c r="CN65" s="113"/>
      <c r="CO65" s="113"/>
      <c r="CP65" s="113"/>
      <c r="CQ65" s="113"/>
      <c r="CR65" s="113"/>
      <c r="CS65" s="113"/>
      <c r="CT65" s="113"/>
      <c r="CU65" s="113"/>
      <c r="CV65" s="113"/>
      <c r="CW65" s="113"/>
      <c r="CX65" s="113"/>
      <c r="CY65" s="113"/>
      <c r="CZ65" s="113"/>
      <c r="DA65" s="113"/>
      <c r="DB65" s="113"/>
      <c r="DC65" s="113"/>
      <c r="DD65" s="113"/>
      <c r="DE65" s="113"/>
      <c r="DF65" s="113"/>
      <c r="DG65" s="113"/>
      <c r="DH65" s="113"/>
      <c r="DI65" s="113"/>
      <c r="DJ65" s="113"/>
      <c r="DK65" s="113"/>
      <c r="DL65" s="113"/>
      <c r="DM65" s="113"/>
      <c r="DN65" s="113"/>
      <c r="DO65" s="113"/>
      <c r="DP65" s="113"/>
      <c r="DQ65" s="113"/>
      <c r="DR65" s="113"/>
      <c r="DS65" s="113"/>
      <c r="DT65" s="113"/>
      <c r="DU65" s="113"/>
      <c r="DV65" s="113"/>
      <c r="DW65" s="113"/>
      <c r="DX65" s="113"/>
      <c r="DY65" s="114"/>
    </row>
    <row r="66" spans="1:129" ht="30" customHeight="1" x14ac:dyDescent="0.4">
      <c r="A66" s="115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7"/>
    </row>
    <row r="67" spans="1:129" ht="30" customHeight="1" thickBot="1" x14ac:dyDescent="0.45">
      <c r="A67" s="118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  <c r="CU67" s="119"/>
      <c r="CV67" s="119"/>
      <c r="CW67" s="119"/>
      <c r="CX67" s="119"/>
      <c r="CY67" s="119"/>
      <c r="CZ67" s="119"/>
      <c r="DA67" s="119"/>
      <c r="DB67" s="119"/>
      <c r="DC67" s="119"/>
      <c r="DD67" s="119"/>
      <c r="DE67" s="119"/>
      <c r="DF67" s="119"/>
      <c r="DG67" s="119"/>
      <c r="DH67" s="119"/>
      <c r="DI67" s="119"/>
      <c r="DJ67" s="119"/>
      <c r="DK67" s="119"/>
      <c r="DL67" s="119"/>
      <c r="DM67" s="119"/>
      <c r="DN67" s="119"/>
      <c r="DO67" s="119"/>
      <c r="DP67" s="119"/>
      <c r="DQ67" s="119"/>
      <c r="DR67" s="119"/>
      <c r="DS67" s="119"/>
      <c r="DT67" s="119"/>
      <c r="DU67" s="119"/>
      <c r="DV67" s="119"/>
      <c r="DW67" s="119"/>
      <c r="DX67" s="119"/>
      <c r="DY67" s="120"/>
    </row>
  </sheetData>
  <mergeCells count="493">
    <mergeCell ref="BY6:CC6"/>
    <mergeCell ref="CD6:CK6"/>
    <mergeCell ref="CL6:CV6"/>
    <mergeCell ref="CW6:DI6"/>
    <mergeCell ref="DJ6:DT6"/>
    <mergeCell ref="DU6:DY6"/>
    <mergeCell ref="AU1:CH1"/>
    <mergeCell ref="DG2:DY2"/>
    <mergeCell ref="A4:DY4"/>
    <mergeCell ref="A6:I6"/>
    <mergeCell ref="J6:AE6"/>
    <mergeCell ref="AF6:AP6"/>
    <mergeCell ref="AQ6:AZ6"/>
    <mergeCell ref="BA6:BD6"/>
    <mergeCell ref="BE6:BO6"/>
    <mergeCell ref="BP6:BX6"/>
    <mergeCell ref="CD7:CK7"/>
    <mergeCell ref="CL7:CS7"/>
    <mergeCell ref="CT7:CV7"/>
    <mergeCell ref="CW7:DI7"/>
    <mergeCell ref="DJ7:DT7"/>
    <mergeCell ref="DU7:DY7"/>
    <mergeCell ref="A7:I7"/>
    <mergeCell ref="J7:AE7"/>
    <mergeCell ref="AF7:AP7"/>
    <mergeCell ref="AQ7:BD7"/>
    <mergeCell ref="BE7:BO7"/>
    <mergeCell ref="BP7:CC7"/>
    <mergeCell ref="CD11:DY11"/>
    <mergeCell ref="CD12:CL12"/>
    <mergeCell ref="CM12:CV12"/>
    <mergeCell ref="CW12:DF12"/>
    <mergeCell ref="DG12:DP12"/>
    <mergeCell ref="DQ12:DY12"/>
    <mergeCell ref="A9:BL9"/>
    <mergeCell ref="BP9:DY9"/>
    <mergeCell ref="A11:D12"/>
    <mergeCell ref="E11:O12"/>
    <mergeCell ref="P11:Y12"/>
    <mergeCell ref="Z11:AK12"/>
    <mergeCell ref="AL11:AX12"/>
    <mergeCell ref="AY11:BL12"/>
    <mergeCell ref="BP11:BU12"/>
    <mergeCell ref="BV11:CC12"/>
    <mergeCell ref="DQ13:DY13"/>
    <mergeCell ref="A14:D14"/>
    <mergeCell ref="E14:O14"/>
    <mergeCell ref="P14:Y14"/>
    <mergeCell ref="Z14:AK14"/>
    <mergeCell ref="AL14:AX14"/>
    <mergeCell ref="AY14:BL14"/>
    <mergeCell ref="BP14:BU14"/>
    <mergeCell ref="BV14:CC14"/>
    <mergeCell ref="CD14:CL14"/>
    <mergeCell ref="BP13:BU13"/>
    <mergeCell ref="BV13:CC13"/>
    <mergeCell ref="CD13:CL13"/>
    <mergeCell ref="CM13:CV13"/>
    <mergeCell ref="CW13:DF13"/>
    <mergeCell ref="DG13:DP13"/>
    <mergeCell ref="A13:D13"/>
    <mergeCell ref="E13:O13"/>
    <mergeCell ref="P13:Y13"/>
    <mergeCell ref="Z13:AK13"/>
    <mergeCell ref="AL13:AX13"/>
    <mergeCell ref="AY13:BL13"/>
    <mergeCell ref="CM14:CV14"/>
    <mergeCell ref="CW14:DF14"/>
    <mergeCell ref="BV16:CC16"/>
    <mergeCell ref="CD16:CL16"/>
    <mergeCell ref="DG14:DP14"/>
    <mergeCell ref="DQ14:DY14"/>
    <mergeCell ref="A15:D15"/>
    <mergeCell ref="E15:O15"/>
    <mergeCell ref="P15:Y15"/>
    <mergeCell ref="Z15:AK15"/>
    <mergeCell ref="AL15:AX15"/>
    <mergeCell ref="AY15:BL15"/>
    <mergeCell ref="DQ15:DY15"/>
    <mergeCell ref="BP15:BU15"/>
    <mergeCell ref="BV15:CC15"/>
    <mergeCell ref="CD15:CL15"/>
    <mergeCell ref="CM15:CV15"/>
    <mergeCell ref="CW15:DF15"/>
    <mergeCell ref="DG15:DP15"/>
    <mergeCell ref="CM16:CV16"/>
    <mergeCell ref="CW16:DF16"/>
    <mergeCell ref="DG16:DP16"/>
    <mergeCell ref="DQ16:DY16"/>
    <mergeCell ref="A17:D17"/>
    <mergeCell ref="E17:O17"/>
    <mergeCell ref="P17:Y17"/>
    <mergeCell ref="Z17:AK17"/>
    <mergeCell ref="AL17:AX17"/>
    <mergeCell ref="AY17:BL17"/>
    <mergeCell ref="DQ17:DY17"/>
    <mergeCell ref="BP17:BU17"/>
    <mergeCell ref="BV17:CC17"/>
    <mergeCell ref="CD17:CL17"/>
    <mergeCell ref="CM17:CV17"/>
    <mergeCell ref="CW17:DF17"/>
    <mergeCell ref="DG17:DP17"/>
    <mergeCell ref="A16:D16"/>
    <mergeCell ref="E16:O16"/>
    <mergeCell ref="P16:Y16"/>
    <mergeCell ref="Z16:AK16"/>
    <mergeCell ref="AL16:AX16"/>
    <mergeCell ref="AY16:BL16"/>
    <mergeCell ref="BP16:BU16"/>
    <mergeCell ref="CM18:CV18"/>
    <mergeCell ref="CW18:DF18"/>
    <mergeCell ref="DG18:DP18"/>
    <mergeCell ref="DQ18:DY18"/>
    <mergeCell ref="A19:D19"/>
    <mergeCell ref="E19:O19"/>
    <mergeCell ref="P19:Y19"/>
    <mergeCell ref="Z19:AK19"/>
    <mergeCell ref="AL19:AX19"/>
    <mergeCell ref="AY19:BL19"/>
    <mergeCell ref="A18:D18"/>
    <mergeCell ref="E18:O18"/>
    <mergeCell ref="P18:Y18"/>
    <mergeCell ref="Z18:AK18"/>
    <mergeCell ref="AL18:AX18"/>
    <mergeCell ref="AY18:BL18"/>
    <mergeCell ref="BP18:BU18"/>
    <mergeCell ref="BV18:CC18"/>
    <mergeCell ref="CD18:CL18"/>
    <mergeCell ref="BP20:DY20"/>
    <mergeCell ref="A21:D21"/>
    <mergeCell ref="E21:O21"/>
    <mergeCell ref="P21:Y21"/>
    <mergeCell ref="Z21:AK21"/>
    <mergeCell ref="AL21:AX21"/>
    <mergeCell ref="AY21:BL21"/>
    <mergeCell ref="A20:D20"/>
    <mergeCell ref="E20:O20"/>
    <mergeCell ref="P20:Y20"/>
    <mergeCell ref="Z20:AK20"/>
    <mergeCell ref="AL20:AX20"/>
    <mergeCell ref="AY20:BL20"/>
    <mergeCell ref="CT22:DG23"/>
    <mergeCell ref="DH22:DY23"/>
    <mergeCell ref="A23:D23"/>
    <mergeCell ref="E23:O23"/>
    <mergeCell ref="P23:Y23"/>
    <mergeCell ref="Z23:AK23"/>
    <mergeCell ref="AL23:AX23"/>
    <mergeCell ref="AY23:BL23"/>
    <mergeCell ref="A22:D22"/>
    <mergeCell ref="E22:O22"/>
    <mergeCell ref="P22:Y22"/>
    <mergeCell ref="Z22:AK22"/>
    <mergeCell ref="AL22:AX22"/>
    <mergeCell ref="AY22:BL22"/>
    <mergeCell ref="BP23:CE23"/>
    <mergeCell ref="A24:D24"/>
    <mergeCell ref="E24:O24"/>
    <mergeCell ref="P24:Y24"/>
    <mergeCell ref="Z24:AK24"/>
    <mergeCell ref="AL24:AX24"/>
    <mergeCell ref="AY24:BL24"/>
    <mergeCell ref="BP24:CE25"/>
    <mergeCell ref="BP22:CE22"/>
    <mergeCell ref="CF24:CS25"/>
    <mergeCell ref="CF22:CS23"/>
    <mergeCell ref="CT24:DG25"/>
    <mergeCell ref="DH24:DY25"/>
    <mergeCell ref="A25:D25"/>
    <mergeCell ref="E25:O25"/>
    <mergeCell ref="P25:Y25"/>
    <mergeCell ref="Z25:AK25"/>
    <mergeCell ref="AL25:AX25"/>
    <mergeCell ref="AY25:BL25"/>
    <mergeCell ref="BP26:CE27"/>
    <mergeCell ref="CF26:CS27"/>
    <mergeCell ref="CT26:DG27"/>
    <mergeCell ref="DH26:DY27"/>
    <mergeCell ref="A27:D27"/>
    <mergeCell ref="E27:O27"/>
    <mergeCell ref="P27:Y27"/>
    <mergeCell ref="Z27:AK27"/>
    <mergeCell ref="AL27:AX27"/>
    <mergeCell ref="AY27:BL27"/>
    <mergeCell ref="A26:D26"/>
    <mergeCell ref="E26:O26"/>
    <mergeCell ref="P26:Y26"/>
    <mergeCell ref="Z26:AK26"/>
    <mergeCell ref="AL26:AX26"/>
    <mergeCell ref="AY26:BL26"/>
    <mergeCell ref="AY28:BL28"/>
    <mergeCell ref="BP28:CE29"/>
    <mergeCell ref="CF28:CS29"/>
    <mergeCell ref="CT28:DG29"/>
    <mergeCell ref="DH28:DY29"/>
    <mergeCell ref="A29:Y29"/>
    <mergeCell ref="Z29:AK29"/>
    <mergeCell ref="AL29:AX29"/>
    <mergeCell ref="AY29:BL29"/>
    <mergeCell ref="A28:D28"/>
    <mergeCell ref="E28:O28"/>
    <mergeCell ref="P28:Y28"/>
    <mergeCell ref="Z28:AD28"/>
    <mergeCell ref="AE28:AK28"/>
    <mergeCell ref="AL28:AX28"/>
    <mergeCell ref="A31:DY31"/>
    <mergeCell ref="A33:D34"/>
    <mergeCell ref="E33:J34"/>
    <mergeCell ref="K33:Q34"/>
    <mergeCell ref="R33:Z34"/>
    <mergeCell ref="AA33:AI34"/>
    <mergeCell ref="AJ33:AS34"/>
    <mergeCell ref="AT33:BC34"/>
    <mergeCell ref="BD33:BM34"/>
    <mergeCell ref="BN33:BW34"/>
    <mergeCell ref="BX33:CG34"/>
    <mergeCell ref="CH33:CQ34"/>
    <mergeCell ref="CR33:DC34"/>
    <mergeCell ref="DD33:DY34"/>
    <mergeCell ref="A35:D35"/>
    <mergeCell ref="E35:J35"/>
    <mergeCell ref="K35:Q35"/>
    <mergeCell ref="R35:Z35"/>
    <mergeCell ref="AA35:AI35"/>
    <mergeCell ref="AJ35:AS35"/>
    <mergeCell ref="DD35:DY35"/>
    <mergeCell ref="A36:D36"/>
    <mergeCell ref="E36:J36"/>
    <mergeCell ref="K36:Q36"/>
    <mergeCell ref="R36:Z36"/>
    <mergeCell ref="AA36:AI36"/>
    <mergeCell ref="AJ36:AS36"/>
    <mergeCell ref="AT36:BC36"/>
    <mergeCell ref="BD36:BM36"/>
    <mergeCell ref="BN36:BW36"/>
    <mergeCell ref="AT35:BC35"/>
    <mergeCell ref="BD35:BM35"/>
    <mergeCell ref="BN35:BW35"/>
    <mergeCell ref="BX35:CG35"/>
    <mergeCell ref="CH35:CQ35"/>
    <mergeCell ref="CR35:DC35"/>
    <mergeCell ref="BX36:CG36"/>
    <mergeCell ref="CH36:CQ36"/>
    <mergeCell ref="BD38:BM38"/>
    <mergeCell ref="BN38:BW38"/>
    <mergeCell ref="CR36:DC36"/>
    <mergeCell ref="DD36:DY36"/>
    <mergeCell ref="A37:D37"/>
    <mergeCell ref="E37:J37"/>
    <mergeCell ref="K37:Q37"/>
    <mergeCell ref="R37:Z37"/>
    <mergeCell ref="AA37:AI37"/>
    <mergeCell ref="AJ37:AS37"/>
    <mergeCell ref="DD37:DY37"/>
    <mergeCell ref="AT37:BC37"/>
    <mergeCell ref="BD37:BM37"/>
    <mergeCell ref="BN37:BW37"/>
    <mergeCell ref="BX37:CG37"/>
    <mergeCell ref="CH37:CQ37"/>
    <mergeCell ref="CR37:DC37"/>
    <mergeCell ref="BX38:CG38"/>
    <mergeCell ref="CH38:CQ38"/>
    <mergeCell ref="CR38:DC38"/>
    <mergeCell ref="DD38:DY38"/>
    <mergeCell ref="A39:D39"/>
    <mergeCell ref="E39:J39"/>
    <mergeCell ref="K39:Q39"/>
    <mergeCell ref="R39:Z39"/>
    <mergeCell ref="AA39:AI39"/>
    <mergeCell ref="AJ39:AS39"/>
    <mergeCell ref="DD39:DY39"/>
    <mergeCell ref="AT39:BC39"/>
    <mergeCell ref="BD39:BM39"/>
    <mergeCell ref="BN39:BW39"/>
    <mergeCell ref="BX39:CG39"/>
    <mergeCell ref="CH39:CQ39"/>
    <mergeCell ref="CR39:DC39"/>
    <mergeCell ref="A38:D38"/>
    <mergeCell ref="E38:J38"/>
    <mergeCell ref="K38:Q38"/>
    <mergeCell ref="R38:Z38"/>
    <mergeCell ref="AA38:AI38"/>
    <mergeCell ref="AJ38:AS38"/>
    <mergeCell ref="AT38:BC38"/>
    <mergeCell ref="DD40:DY40"/>
    <mergeCell ref="A41:D41"/>
    <mergeCell ref="E41:J41"/>
    <mergeCell ref="K41:Q41"/>
    <mergeCell ref="R41:Z41"/>
    <mergeCell ref="AA41:AI41"/>
    <mergeCell ref="AJ41:AS41"/>
    <mergeCell ref="DD41:DY41"/>
    <mergeCell ref="AT41:BC41"/>
    <mergeCell ref="BD41:BM41"/>
    <mergeCell ref="BN41:BW41"/>
    <mergeCell ref="BX41:CG41"/>
    <mergeCell ref="CH41:CQ41"/>
    <mergeCell ref="CR41:DC41"/>
    <mergeCell ref="A40:D40"/>
    <mergeCell ref="E40:J40"/>
    <mergeCell ref="K40:Q40"/>
    <mergeCell ref="R40:Z40"/>
    <mergeCell ref="AA40:AI40"/>
    <mergeCell ref="AJ40:AS40"/>
    <mergeCell ref="AT40:BC40"/>
    <mergeCell ref="BD40:BM40"/>
    <mergeCell ref="BN40:BW40"/>
    <mergeCell ref="R42:Z42"/>
    <mergeCell ref="AA42:AI42"/>
    <mergeCell ref="AJ42:AS42"/>
    <mergeCell ref="AT42:BC42"/>
    <mergeCell ref="BD42:BM42"/>
    <mergeCell ref="BN42:BW42"/>
    <mergeCell ref="BX40:CG40"/>
    <mergeCell ref="CH40:CQ40"/>
    <mergeCell ref="CR40:DC40"/>
    <mergeCell ref="AJ44:AS44"/>
    <mergeCell ref="AT44:BC44"/>
    <mergeCell ref="BD44:BM44"/>
    <mergeCell ref="BN44:BW44"/>
    <mergeCell ref="BX42:CG42"/>
    <mergeCell ref="CH42:CQ42"/>
    <mergeCell ref="CR42:DC42"/>
    <mergeCell ref="DD42:DY42"/>
    <mergeCell ref="A43:D43"/>
    <mergeCell ref="E43:J43"/>
    <mergeCell ref="K43:Q43"/>
    <mergeCell ref="R43:Z43"/>
    <mergeCell ref="AA43:AI43"/>
    <mergeCell ref="AJ43:AS43"/>
    <mergeCell ref="DD43:DY43"/>
    <mergeCell ref="AT43:BC43"/>
    <mergeCell ref="BD43:BM43"/>
    <mergeCell ref="BN43:BW43"/>
    <mergeCell ref="BX43:CG43"/>
    <mergeCell ref="CH43:CQ43"/>
    <mergeCell ref="CR43:DC43"/>
    <mergeCell ref="A42:D42"/>
    <mergeCell ref="E42:J42"/>
    <mergeCell ref="K42:Q42"/>
    <mergeCell ref="BD46:BM46"/>
    <mergeCell ref="BN46:BW46"/>
    <mergeCell ref="BX44:CG44"/>
    <mergeCell ref="CH44:CQ44"/>
    <mergeCell ref="CR44:DC44"/>
    <mergeCell ref="DD44:DY44"/>
    <mergeCell ref="A45:D45"/>
    <mergeCell ref="E45:J45"/>
    <mergeCell ref="K45:Q45"/>
    <mergeCell ref="R45:Z45"/>
    <mergeCell ref="AA45:AI45"/>
    <mergeCell ref="AJ45:AS45"/>
    <mergeCell ref="DD45:DY45"/>
    <mergeCell ref="AT45:BC45"/>
    <mergeCell ref="BD45:BM45"/>
    <mergeCell ref="BN45:BW45"/>
    <mergeCell ref="BX45:CG45"/>
    <mergeCell ref="CH45:CQ45"/>
    <mergeCell ref="CR45:DC45"/>
    <mergeCell ref="A44:D44"/>
    <mergeCell ref="E44:J44"/>
    <mergeCell ref="K44:Q44"/>
    <mergeCell ref="R44:Z44"/>
    <mergeCell ref="AA44:AI44"/>
    <mergeCell ref="BX46:CG46"/>
    <mergeCell ref="CH46:CQ46"/>
    <mergeCell ref="CR46:DC46"/>
    <mergeCell ref="DD46:DY46"/>
    <mergeCell ref="A47:D47"/>
    <mergeCell ref="E47:J47"/>
    <mergeCell ref="K47:Q47"/>
    <mergeCell ref="R47:Z47"/>
    <mergeCell ref="AA47:AI47"/>
    <mergeCell ref="AJ47:AS47"/>
    <mergeCell ref="DD47:DY47"/>
    <mergeCell ref="AT47:BC47"/>
    <mergeCell ref="BD47:BM47"/>
    <mergeCell ref="BN47:BW47"/>
    <mergeCell ref="BX47:CG47"/>
    <mergeCell ref="CH47:CQ47"/>
    <mergeCell ref="CR47:DC47"/>
    <mergeCell ref="A46:D46"/>
    <mergeCell ref="E46:J46"/>
    <mergeCell ref="K46:Q46"/>
    <mergeCell ref="R46:Z46"/>
    <mergeCell ref="AA46:AI46"/>
    <mergeCell ref="AJ46:AS46"/>
    <mergeCell ref="AT46:BC46"/>
    <mergeCell ref="BX48:CG48"/>
    <mergeCell ref="CH48:CQ48"/>
    <mergeCell ref="CR48:DC48"/>
    <mergeCell ref="DD48:DY48"/>
    <mergeCell ref="A49:D49"/>
    <mergeCell ref="E49:J49"/>
    <mergeCell ref="K49:Q49"/>
    <mergeCell ref="R49:Z49"/>
    <mergeCell ref="AA49:AI49"/>
    <mergeCell ref="AJ49:AS49"/>
    <mergeCell ref="AT49:BC49"/>
    <mergeCell ref="BD49:BM49"/>
    <mergeCell ref="BN49:BW49"/>
    <mergeCell ref="A48:D48"/>
    <mergeCell ref="E48:J48"/>
    <mergeCell ref="K48:Q48"/>
    <mergeCell ref="R48:Z48"/>
    <mergeCell ref="AA48:AI48"/>
    <mergeCell ref="AJ48:AS48"/>
    <mergeCell ref="AT48:BC48"/>
    <mergeCell ref="BD48:BM48"/>
    <mergeCell ref="BN48:BW48"/>
    <mergeCell ref="EA49:EI49"/>
    <mergeCell ref="A50:D50"/>
    <mergeCell ref="E50:J50"/>
    <mergeCell ref="K50:Q50"/>
    <mergeCell ref="R50:Z50"/>
    <mergeCell ref="AA50:AI50"/>
    <mergeCell ref="AJ50:AS50"/>
    <mergeCell ref="AT50:BC50"/>
    <mergeCell ref="BD50:BM50"/>
    <mergeCell ref="BN50:BW50"/>
    <mergeCell ref="CR52:DC52"/>
    <mergeCell ref="DD52:DY52"/>
    <mergeCell ref="CD53:CO53"/>
    <mergeCell ref="CP53:DB53"/>
    <mergeCell ref="BD51:BM51"/>
    <mergeCell ref="BN51:BW51"/>
    <mergeCell ref="A52:Q52"/>
    <mergeCell ref="R52:Z52"/>
    <mergeCell ref="AA52:AI52"/>
    <mergeCell ref="AJ52:AS52"/>
    <mergeCell ref="AT52:BC52"/>
    <mergeCell ref="BD52:BM52"/>
    <mergeCell ref="BN52:BW52"/>
    <mergeCell ref="A51:D51"/>
    <mergeCell ref="E51:J51"/>
    <mergeCell ref="K51:Q51"/>
    <mergeCell ref="R51:Z51"/>
    <mergeCell ref="AA51:AI51"/>
    <mergeCell ref="AJ51:AS51"/>
    <mergeCell ref="AT51:BC51"/>
    <mergeCell ref="BX52:CG52"/>
    <mergeCell ref="CH52:CQ52"/>
    <mergeCell ref="A54:BL54"/>
    <mergeCell ref="BP54:DY54"/>
    <mergeCell ref="A56:P57"/>
    <mergeCell ref="Q56:AB56"/>
    <mergeCell ref="AC56:AN56"/>
    <mergeCell ref="AO56:AZ56"/>
    <mergeCell ref="BA56:BL56"/>
    <mergeCell ref="BP56:CD56"/>
    <mergeCell ref="CE56:DE56"/>
    <mergeCell ref="DF56:DO56"/>
    <mergeCell ref="DP56:DY56"/>
    <mergeCell ref="Q57:AB57"/>
    <mergeCell ref="AC57:AN57"/>
    <mergeCell ref="AO57:AZ57"/>
    <mergeCell ref="BA57:BL57"/>
    <mergeCell ref="BP57:CD57"/>
    <mergeCell ref="CE57:DE57"/>
    <mergeCell ref="DF57:DO57"/>
    <mergeCell ref="DP57:DY57"/>
    <mergeCell ref="A60:P60"/>
    <mergeCell ref="Q60:BL60"/>
    <mergeCell ref="BP60:CD60"/>
    <mergeCell ref="CE60:DE60"/>
    <mergeCell ref="DF60:DO60"/>
    <mergeCell ref="DP60:DY60"/>
    <mergeCell ref="CE58:DE58"/>
    <mergeCell ref="DF58:DO58"/>
    <mergeCell ref="DP58:DY58"/>
    <mergeCell ref="A59:P59"/>
    <mergeCell ref="Q59:BL59"/>
    <mergeCell ref="BP59:CD59"/>
    <mergeCell ref="CE59:DE59"/>
    <mergeCell ref="DF59:DO59"/>
    <mergeCell ref="DP59:DY59"/>
    <mergeCell ref="A58:P58"/>
    <mergeCell ref="Q58:AB58"/>
    <mergeCell ref="AC58:AN58"/>
    <mergeCell ref="AO58:AZ58"/>
    <mergeCell ref="BA58:BL58"/>
    <mergeCell ref="BP58:CD58"/>
    <mergeCell ref="A63:DY63"/>
    <mergeCell ref="A65:DY67"/>
    <mergeCell ref="BP61:CD61"/>
    <mergeCell ref="CE61:DE61"/>
    <mergeCell ref="DF61:DO61"/>
    <mergeCell ref="DP61:DY61"/>
    <mergeCell ref="W62:AI62"/>
    <mergeCell ref="BP62:CD62"/>
    <mergeCell ref="CE62:DD62"/>
    <mergeCell ref="DF62:DO62"/>
    <mergeCell ref="DP62:DY62"/>
  </mergeCells>
  <phoneticPr fontId="3" type="noConversion"/>
  <dataValidations count="6">
    <dataValidation type="decimal" errorStyle="warning" allowBlank="1" showInputMessage="1" showErrorMessage="1" errorTitle="온도 확인" error="온도(℃) 값이 범위(-30~60)를 벗어났습니다. 그대로 입력할까요?" sqref="AQ6" xr:uid="{00000000-0002-0000-0000-000000000000}">
      <formula1>-30</formula1>
      <formula2>60</formula2>
    </dataValidation>
    <dataValidation type="decimal" errorStyle="warning" allowBlank="1" showInputMessage="1" showErrorMessage="1" errorTitle="습도 확인" error="습도(%)는 0~100 사이여야 합니다. 그대로 입력할까요?" sqref="BP6" xr:uid="{00000000-0002-0000-0000-000001000000}">
      <formula1>0</formula1>
      <formula2>100</formula2>
    </dataValidation>
    <dataValidation type="list" errorStyle="warning" allowBlank="1" showInputMessage="1" showErrorMessage="1" errorTitle="날씨" error="목록에 없는 값입니다. 그대로 입력할까요?" sqref="CL6" xr:uid="{00000000-0002-0000-0000-000002000000}">
      <formula1>"맑음,흐림,비,눈"</formula1>
    </dataValidation>
    <dataValidation type="whole" errorStyle="warning" operator="greaterThanOrEqual" allowBlank="1" showInputMessage="1" showErrorMessage="1" errorTitle="작업인원" error="작업인원은 0 이상의 정수로 입력하세요." sqref="CL7" xr:uid="{00000000-0002-0000-0000-000003000000}">
      <formula1>0</formula1>
    </dataValidation>
    <dataValidation type="decimal" operator="greaterThan" allowBlank="1" showInputMessage="1" showErrorMessage="1" errorTitle="생산 Batch" error="생산 Batch는 0보다 큰 숫자로 입력하세요 (예: 1, 0.5). 이 값이 원료 사용량 계산에 곱해집니다." promptTitle="생산 Batch" prompt="원료 총 사용량 = 사용량 × Batch" sqref="DJ6" xr:uid="{00000000-0002-0000-0000-000004000000}">
      <formula1>0</formula1>
    </dataValidation>
    <dataValidation type="list" errorStyle="warning" allowBlank="1" showInputMessage="1" showErrorMessage="1" errorTitle="판정" error="적합 / 부적합 중에서 선택하세요." sqref="DP57:DY61" xr:uid="{00000000-0002-0000-0000-000005000000}">
      <formula1>"적합,부적합"</formula1>
    </dataValidation>
  </dataValidations>
  <printOptions horizontalCentered="1"/>
  <pageMargins left="0.19685039370078741" right="0.19685039370078741" top="0.39370078740157483" bottom="0.3582677165354331" header="0.31496062992125984" footer="0.31496062992125984"/>
  <pageSetup paperSize="9" scale="5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  <pageSetUpPr fitToPage="1"/>
  </sheetPr>
  <dimension ref="A1:Q52"/>
  <sheetViews>
    <sheetView showGridLines="0" tabSelected="1" workbookViewId="0">
      <pane ySplit="2" topLeftCell="A3" activePane="bottomLeft" state="frozen"/>
      <selection pane="bottomLeft" activeCell="J35" sqref="J35"/>
    </sheetView>
  </sheetViews>
  <sheetFormatPr defaultRowHeight="19.95" customHeight="1" x14ac:dyDescent="0.4"/>
  <cols>
    <col min="1" max="1" width="2" customWidth="1"/>
    <col min="2" max="2" width="7.5" customWidth="1"/>
    <col min="3" max="3" width="14" customWidth="1"/>
    <col min="4" max="4" width="12" customWidth="1"/>
    <col min="5" max="8" width="11.5" customWidth="1"/>
    <col min="9" max="9" width="2" customWidth="1"/>
    <col min="10" max="10" width="9.5" customWidth="1"/>
    <col min="11" max="13" width="10.5" customWidth="1"/>
    <col min="14" max="17" width="9.5" customWidth="1"/>
  </cols>
  <sheetData>
    <row r="1" spans="1:17" ht="40.049999999999997" customHeight="1" x14ac:dyDescent="0.4">
      <c r="B1" s="83" t="s">
        <v>112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1:17" ht="19.95" customHeight="1" x14ac:dyDescent="0.4">
      <c r="B2" s="84" t="s">
        <v>113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t="16.05" customHeight="1" x14ac:dyDescent="0.4">
      <c r="A3" s="77"/>
    </row>
    <row r="4" spans="1:17" ht="25.95" customHeight="1" x14ac:dyDescent="0.4">
      <c r="B4" s="85" t="s">
        <v>114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</row>
    <row r="5" spans="1:17" ht="28.05" customHeight="1" x14ac:dyDescent="0.4">
      <c r="B5" s="60" t="s">
        <v>115</v>
      </c>
      <c r="C5" s="86" t="s">
        <v>116</v>
      </c>
      <c r="D5" s="86"/>
      <c r="E5" s="86"/>
      <c r="F5" s="60" t="s">
        <v>117</v>
      </c>
      <c r="G5" s="87"/>
      <c r="H5" s="87"/>
      <c r="I5" s="87"/>
      <c r="J5" s="87"/>
      <c r="K5" s="60" t="s">
        <v>118</v>
      </c>
      <c r="L5" s="64">
        <v>2</v>
      </c>
      <c r="M5" s="91" t="s">
        <v>343</v>
      </c>
      <c r="N5" s="92"/>
      <c r="O5" s="88">
        <v>0</v>
      </c>
      <c r="P5" s="89"/>
      <c r="Q5" s="90"/>
    </row>
    <row r="6" spans="1:17" ht="28.05" customHeight="1" x14ac:dyDescent="0.4">
      <c r="B6" s="60" t="s">
        <v>346</v>
      </c>
      <c r="C6" s="65">
        <v>0</v>
      </c>
      <c r="D6" s="60" t="s">
        <v>347</v>
      </c>
      <c r="E6" s="65">
        <v>0</v>
      </c>
      <c r="F6" s="79" t="s">
        <v>119</v>
      </c>
      <c r="G6" s="97"/>
      <c r="H6" s="97"/>
      <c r="I6" s="97"/>
      <c r="J6" s="97"/>
      <c r="K6" s="81" t="s">
        <v>120</v>
      </c>
      <c r="L6" s="64">
        <v>6</v>
      </c>
      <c r="M6" s="91" t="s">
        <v>121</v>
      </c>
      <c r="N6" s="92"/>
      <c r="O6" s="94"/>
      <c r="P6" s="95"/>
      <c r="Q6" s="96"/>
    </row>
    <row r="7" spans="1:17" ht="16.05" customHeight="1" x14ac:dyDescent="0.4">
      <c r="A7" s="77"/>
    </row>
    <row r="8" spans="1:17" ht="25.95" customHeight="1" x14ac:dyDescent="0.4">
      <c r="B8" s="85" t="s">
        <v>122</v>
      </c>
      <c r="C8" s="85"/>
      <c r="D8" s="85"/>
      <c r="E8" s="85"/>
      <c r="F8" s="85"/>
      <c r="G8" s="85"/>
      <c r="H8" s="85"/>
      <c r="J8" s="85" t="s">
        <v>123</v>
      </c>
      <c r="K8" s="85"/>
      <c r="L8" s="85"/>
      <c r="M8" s="85"/>
      <c r="N8" s="85"/>
      <c r="O8" s="85"/>
      <c r="P8" s="85"/>
      <c r="Q8" s="85"/>
    </row>
    <row r="9" spans="1:17" ht="42" customHeight="1" x14ac:dyDescent="0.4">
      <c r="B9" s="61" t="s">
        <v>124</v>
      </c>
      <c r="C9" s="61" t="s">
        <v>125</v>
      </c>
      <c r="D9" s="61" t="s">
        <v>126</v>
      </c>
      <c r="E9" s="61" t="s">
        <v>127</v>
      </c>
      <c r="F9" s="61" t="s">
        <v>128</v>
      </c>
      <c r="G9" s="61" t="s">
        <v>129</v>
      </c>
      <c r="H9" s="61" t="s">
        <v>130</v>
      </c>
      <c r="J9" s="61" t="s">
        <v>131</v>
      </c>
      <c r="K9" s="61" t="s">
        <v>132</v>
      </c>
      <c r="L9" s="61" t="s">
        <v>133</v>
      </c>
      <c r="M9" s="61" t="s">
        <v>134</v>
      </c>
      <c r="N9" s="61" t="s">
        <v>135</v>
      </c>
      <c r="O9" s="61" t="s">
        <v>136</v>
      </c>
      <c r="P9" s="61" t="s">
        <v>35</v>
      </c>
      <c r="Q9" s="61" t="s">
        <v>137</v>
      </c>
    </row>
    <row r="10" spans="1:17" ht="28.05" customHeight="1" x14ac:dyDescent="0.4">
      <c r="B10" s="66" t="s">
        <v>138</v>
      </c>
      <c r="C10" s="60" t="s">
        <v>139</v>
      </c>
      <c r="D10" s="60" t="s">
        <v>140</v>
      </c>
      <c r="E10" s="63"/>
      <c r="F10" s="67">
        <v>350</v>
      </c>
      <c r="G10" s="68">
        <f t="shared" ref="G10:G24" si="0">F10*$L$5</f>
        <v>700</v>
      </c>
      <c r="H10" s="67">
        <v>0</v>
      </c>
      <c r="J10" s="66">
        <v>1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</row>
    <row r="11" spans="1:17" ht="28.05" customHeight="1" x14ac:dyDescent="0.4">
      <c r="B11" s="66" t="s">
        <v>141</v>
      </c>
      <c r="C11" s="60" t="s">
        <v>142</v>
      </c>
      <c r="D11" s="60" t="s">
        <v>143</v>
      </c>
      <c r="E11" s="63"/>
      <c r="F11" s="67">
        <v>112.5</v>
      </c>
      <c r="G11" s="68">
        <f t="shared" si="0"/>
        <v>225</v>
      </c>
      <c r="H11" s="67">
        <v>0</v>
      </c>
      <c r="J11" s="66">
        <v>2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</row>
    <row r="12" spans="1:17" ht="28.05" customHeight="1" x14ac:dyDescent="0.4">
      <c r="B12" s="66" t="s">
        <v>144</v>
      </c>
      <c r="C12" s="60" t="s">
        <v>145</v>
      </c>
      <c r="D12" s="60" t="s">
        <v>146</v>
      </c>
      <c r="E12" s="63"/>
      <c r="F12" s="67">
        <v>37.5</v>
      </c>
      <c r="G12" s="68">
        <f t="shared" si="0"/>
        <v>75</v>
      </c>
      <c r="H12" s="67">
        <v>0</v>
      </c>
      <c r="J12" s="66">
        <v>3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</row>
    <row r="13" spans="1:17" ht="28.05" customHeight="1" x14ac:dyDescent="0.4">
      <c r="B13" s="66" t="s">
        <v>147</v>
      </c>
      <c r="C13" s="60" t="s">
        <v>145</v>
      </c>
      <c r="D13" s="60" t="s">
        <v>146</v>
      </c>
      <c r="E13" s="63"/>
      <c r="F13" s="67">
        <v>20</v>
      </c>
      <c r="G13" s="68">
        <f t="shared" si="0"/>
        <v>40</v>
      </c>
      <c r="H13" s="67">
        <v>0</v>
      </c>
      <c r="J13" s="66">
        <v>4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</row>
    <row r="14" spans="1:17" ht="28.05" customHeight="1" x14ac:dyDescent="0.4">
      <c r="B14" s="66" t="s">
        <v>148</v>
      </c>
      <c r="C14" s="60" t="s">
        <v>149</v>
      </c>
      <c r="D14" s="60" t="s">
        <v>149</v>
      </c>
      <c r="E14" s="63"/>
      <c r="F14" s="67">
        <v>5</v>
      </c>
      <c r="G14" s="68">
        <f t="shared" si="0"/>
        <v>10</v>
      </c>
      <c r="H14" s="67">
        <v>0</v>
      </c>
      <c r="J14" s="66">
        <v>5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</row>
    <row r="15" spans="1:17" ht="28.05" customHeight="1" x14ac:dyDescent="0.4">
      <c r="B15" s="66" t="s">
        <v>150</v>
      </c>
      <c r="C15" s="60" t="s">
        <v>151</v>
      </c>
      <c r="D15" s="60" t="s">
        <v>151</v>
      </c>
      <c r="E15" s="63"/>
      <c r="F15" s="67">
        <v>6.6</v>
      </c>
      <c r="G15" s="68">
        <f t="shared" si="0"/>
        <v>13.2</v>
      </c>
      <c r="H15" s="67">
        <v>0</v>
      </c>
      <c r="J15" s="66">
        <v>6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</row>
    <row r="16" spans="1:17" ht="28.05" customHeight="1" x14ac:dyDescent="0.4">
      <c r="B16" s="66" t="s">
        <v>152</v>
      </c>
      <c r="C16" s="60" t="s">
        <v>153</v>
      </c>
      <c r="D16" s="60" t="s">
        <v>154</v>
      </c>
      <c r="E16" s="63"/>
      <c r="F16" s="67">
        <v>8.5</v>
      </c>
      <c r="G16" s="68">
        <f t="shared" si="0"/>
        <v>17</v>
      </c>
      <c r="H16" s="67">
        <v>0</v>
      </c>
      <c r="J16" s="66">
        <v>7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</row>
    <row r="17" spans="1:17" ht="28.05" customHeight="1" x14ac:dyDescent="0.4">
      <c r="B17" s="66" t="s">
        <v>155</v>
      </c>
      <c r="C17" s="60" t="s">
        <v>156</v>
      </c>
      <c r="D17" s="60" t="s">
        <v>157</v>
      </c>
      <c r="E17" s="63"/>
      <c r="F17" s="67">
        <v>6</v>
      </c>
      <c r="G17" s="68">
        <f t="shared" si="0"/>
        <v>12</v>
      </c>
      <c r="H17" s="67">
        <v>0</v>
      </c>
      <c r="J17" s="66">
        <v>8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</row>
    <row r="18" spans="1:17" ht="28.05" customHeight="1" x14ac:dyDescent="0.4">
      <c r="B18" s="66" t="s">
        <v>158</v>
      </c>
      <c r="C18" s="60" t="s">
        <v>159</v>
      </c>
      <c r="D18" s="60" t="s">
        <v>160</v>
      </c>
      <c r="E18" s="63"/>
      <c r="F18" s="67">
        <v>7.5</v>
      </c>
      <c r="G18" s="68">
        <f t="shared" si="0"/>
        <v>15</v>
      </c>
      <c r="H18" s="67">
        <v>0</v>
      </c>
      <c r="J18" s="66">
        <v>9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</row>
    <row r="19" spans="1:17" ht="28.05" customHeight="1" x14ac:dyDescent="0.4">
      <c r="B19" s="66" t="s">
        <v>161</v>
      </c>
      <c r="C19" s="60" t="s">
        <v>142</v>
      </c>
      <c r="D19" s="60" t="s">
        <v>162</v>
      </c>
      <c r="E19" s="63"/>
      <c r="F19" s="67">
        <v>25</v>
      </c>
      <c r="G19" s="68">
        <f t="shared" si="0"/>
        <v>50</v>
      </c>
      <c r="H19" s="67">
        <v>0</v>
      </c>
      <c r="J19" s="66">
        <v>10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</row>
    <row r="20" spans="1:17" ht="28.05" customHeight="1" x14ac:dyDescent="0.4">
      <c r="B20" s="66" t="s">
        <v>163</v>
      </c>
      <c r="C20" s="60" t="s">
        <v>164</v>
      </c>
      <c r="D20" s="60" t="s">
        <v>165</v>
      </c>
      <c r="E20" s="63"/>
      <c r="F20" s="67">
        <v>20</v>
      </c>
      <c r="G20" s="68">
        <f t="shared" si="0"/>
        <v>40</v>
      </c>
      <c r="H20" s="67">
        <v>0</v>
      </c>
      <c r="J20" s="66">
        <v>11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</row>
    <row r="21" spans="1:17" ht="28.05" customHeight="1" x14ac:dyDescent="0.4">
      <c r="B21" s="66" t="s">
        <v>166</v>
      </c>
      <c r="C21" s="60" t="s">
        <v>167</v>
      </c>
      <c r="D21" s="60" t="s">
        <v>168</v>
      </c>
      <c r="E21" s="63"/>
      <c r="F21" s="67">
        <v>825</v>
      </c>
      <c r="G21" s="68">
        <f t="shared" si="0"/>
        <v>1650</v>
      </c>
      <c r="H21" s="67">
        <v>0</v>
      </c>
      <c r="J21" s="66">
        <v>12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</row>
    <row r="22" spans="1:17" ht="28.05" customHeight="1" x14ac:dyDescent="0.4">
      <c r="B22" s="66" t="s">
        <v>169</v>
      </c>
      <c r="C22" s="60" t="s">
        <v>170</v>
      </c>
      <c r="D22" s="60" t="s">
        <v>171</v>
      </c>
      <c r="E22" s="63"/>
      <c r="F22" s="67">
        <v>14</v>
      </c>
      <c r="G22" s="68">
        <f t="shared" si="0"/>
        <v>28</v>
      </c>
      <c r="H22" s="67"/>
      <c r="J22" s="66">
        <v>13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</row>
    <row r="23" spans="1:17" ht="28.05" customHeight="1" x14ac:dyDescent="0.4">
      <c r="B23" s="66" t="s">
        <v>172</v>
      </c>
      <c r="C23" s="60" t="s">
        <v>173</v>
      </c>
      <c r="D23" s="60" t="s">
        <v>174</v>
      </c>
      <c r="E23" s="63"/>
      <c r="F23" s="67">
        <v>20</v>
      </c>
      <c r="G23" s="68">
        <f t="shared" si="0"/>
        <v>40</v>
      </c>
      <c r="H23" s="67"/>
      <c r="J23" s="66">
        <v>14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</row>
    <row r="24" spans="1:17" ht="28.05" customHeight="1" x14ac:dyDescent="0.4">
      <c r="B24" s="66" t="s">
        <v>175</v>
      </c>
      <c r="C24" s="60" t="s">
        <v>176</v>
      </c>
      <c r="D24" s="60" t="s">
        <v>177</v>
      </c>
      <c r="E24" s="63"/>
      <c r="F24" s="67">
        <v>717.92</v>
      </c>
      <c r="G24" s="68">
        <f t="shared" si="0"/>
        <v>1435.84</v>
      </c>
      <c r="H24" s="67"/>
    </row>
    <row r="25" spans="1:17" ht="28.05" customHeight="1" x14ac:dyDescent="0.4">
      <c r="B25" s="93" t="s">
        <v>178</v>
      </c>
      <c r="C25" s="93"/>
      <c r="D25" s="93"/>
      <c r="F25" s="69">
        <f>SUM(F10:F24)</f>
        <v>2175.52</v>
      </c>
      <c r="G25" s="69">
        <f>SUM(G10:G24)</f>
        <v>4351.04</v>
      </c>
      <c r="H25" s="69">
        <f>SUM(H10:H24)</f>
        <v>0</v>
      </c>
    </row>
    <row r="26" spans="1:17" ht="16.05" customHeight="1" x14ac:dyDescent="0.4">
      <c r="A26" s="77"/>
    </row>
    <row r="27" spans="1:17" ht="25.95" customHeight="1" x14ac:dyDescent="0.4">
      <c r="B27" s="85" t="s">
        <v>179</v>
      </c>
      <c r="C27" s="85"/>
      <c r="D27" s="85"/>
      <c r="E27" s="85"/>
      <c r="F27" s="85"/>
      <c r="G27" s="85"/>
      <c r="H27" s="85"/>
      <c r="J27" s="99" t="str">
        <f>"5. 토출량 확인  "</f>
        <v xml:space="preserve">5. 토출량 확인  </v>
      </c>
      <c r="K27" s="100"/>
      <c r="L27" s="100"/>
      <c r="M27" s="101"/>
      <c r="N27" s="78">
        <v>33.9</v>
      </c>
    </row>
    <row r="28" spans="1:17" ht="42" customHeight="1" x14ac:dyDescent="0.4">
      <c r="B28" s="93" t="s">
        <v>180</v>
      </c>
      <c r="C28" s="93"/>
      <c r="D28" s="63"/>
      <c r="E28" s="63"/>
      <c r="F28" s="63"/>
      <c r="G28" s="63"/>
      <c r="H28" s="63"/>
      <c r="J28" s="93" t="s">
        <v>181</v>
      </c>
      <c r="K28" s="93"/>
      <c r="L28" s="61" t="s">
        <v>182</v>
      </c>
      <c r="M28" s="61" t="s">
        <v>183</v>
      </c>
      <c r="N28" s="61" t="s">
        <v>184</v>
      </c>
    </row>
    <row r="29" spans="1:17" ht="28.05" customHeight="1" x14ac:dyDescent="0.4">
      <c r="B29" s="98" t="s">
        <v>185</v>
      </c>
      <c r="C29" s="98"/>
      <c r="D29" s="67"/>
      <c r="E29" s="67"/>
      <c r="F29" s="67"/>
      <c r="G29" s="80"/>
      <c r="H29" s="80"/>
      <c r="J29" s="98" t="s">
        <v>186</v>
      </c>
      <c r="K29" s="98"/>
      <c r="L29" s="70">
        <f>IFERROR(N27*(1-(F22+F23)/SUM($F$10:$F$23)),"")</f>
        <v>33.109248079034025</v>
      </c>
      <c r="M29" s="71">
        <v>0</v>
      </c>
      <c r="N29" s="62" t="s">
        <v>187</v>
      </c>
    </row>
    <row r="30" spans="1:17" ht="28.05" customHeight="1" x14ac:dyDescent="0.4">
      <c r="B30" s="98" t="s">
        <v>188</v>
      </c>
      <c r="C30" s="98"/>
      <c r="D30" s="102">
        <f>SUM(D29:H29)</f>
        <v>0</v>
      </c>
      <c r="E30" s="102"/>
      <c r="F30" s="79" t="s">
        <v>189</v>
      </c>
      <c r="G30" s="104" t="str">
        <f>IFERROR(D30/(SUM(H10:H24)),"")</f>
        <v/>
      </c>
      <c r="H30" s="104"/>
      <c r="J30" s="98" t="s">
        <v>170</v>
      </c>
      <c r="K30" s="98"/>
      <c r="L30" s="72">
        <f>IFERROR(N27*F22/SUM($F$10:$F$23)*1000,"")</f>
        <v>325.60373216245887</v>
      </c>
      <c r="M30" s="65">
        <v>0</v>
      </c>
      <c r="N30" s="62" t="s">
        <v>190</v>
      </c>
    </row>
    <row r="31" spans="1:17" ht="28.05" customHeight="1" x14ac:dyDescent="0.4">
      <c r="J31" s="98" t="s">
        <v>173</v>
      </c>
      <c r="K31" s="98"/>
      <c r="L31" s="72">
        <f>IFERROR(N27*F23/SUM($F$10:$F$23)*1000,"")</f>
        <v>465.14818880351265</v>
      </c>
      <c r="M31" s="65">
        <v>0</v>
      </c>
      <c r="N31" s="62" t="s">
        <v>190</v>
      </c>
    </row>
    <row r="32" spans="1:17" ht="25.95" customHeight="1" x14ac:dyDescent="0.4">
      <c r="J32" s="103" t="s">
        <v>345</v>
      </c>
      <c r="K32" s="103"/>
      <c r="L32" s="103"/>
      <c r="M32" s="103"/>
      <c r="N32" s="103"/>
    </row>
    <row r="33" spans="1:17" ht="16.05" customHeight="1" x14ac:dyDescent="0.4">
      <c r="A33" s="77"/>
    </row>
    <row r="34" spans="1:17" ht="25.95" customHeight="1" x14ac:dyDescent="0.4">
      <c r="B34" s="85" t="s">
        <v>191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1:17" ht="25.95" customHeight="1" x14ac:dyDescent="0.4">
      <c r="B35" s="103" t="s">
        <v>348</v>
      </c>
      <c r="C35" s="103"/>
      <c r="D35" s="103"/>
      <c r="E35" s="105">
        <f>IFERROR('설정값 계산'!C52,"")</f>
        <v>1.6551218304634412</v>
      </c>
      <c r="F35" s="105">
        <f>IFERROR('설정값 계산'!C52,"")</f>
        <v>1.6551218304634412</v>
      </c>
      <c r="G35" s="106">
        <f>IFERROR('설정값 계산'!G60,"")</f>
        <v>59.443863462379703</v>
      </c>
      <c r="H35" s="106">
        <f>IFERROR('설정값 계산'!G61,"")</f>
        <v>59.443863462379703</v>
      </c>
      <c r="J35" s="70">
        <v>4.5999999999999996</v>
      </c>
    </row>
    <row r="36" spans="1:17" ht="42" customHeight="1" x14ac:dyDescent="0.4">
      <c r="B36" s="61" t="s">
        <v>344</v>
      </c>
      <c r="C36" s="61" t="s">
        <v>192</v>
      </c>
      <c r="D36" s="61" t="s">
        <v>193</v>
      </c>
      <c r="E36" s="61" t="s">
        <v>194</v>
      </c>
      <c r="F36" s="61" t="s">
        <v>195</v>
      </c>
      <c r="G36" s="61" t="s">
        <v>196</v>
      </c>
      <c r="H36" s="61" t="s">
        <v>197</v>
      </c>
      <c r="J36" s="61" t="s">
        <v>198</v>
      </c>
      <c r="K36" s="61" t="s">
        <v>199</v>
      </c>
      <c r="L36" s="61" t="s">
        <v>200</v>
      </c>
      <c r="M36" s="61" t="s">
        <v>201</v>
      </c>
      <c r="N36" s="93" t="s">
        <v>202</v>
      </c>
      <c r="O36" s="93"/>
      <c r="P36" s="93"/>
      <c r="Q36" s="93"/>
    </row>
    <row r="37" spans="1:17" ht="28.05" customHeight="1" x14ac:dyDescent="0.4">
      <c r="B37" s="66">
        <v>1</v>
      </c>
      <c r="C37" s="73">
        <v>0</v>
      </c>
      <c r="D37" s="74">
        <v>0</v>
      </c>
      <c r="E37" s="75">
        <v>0</v>
      </c>
      <c r="F37" s="75">
        <v>0</v>
      </c>
      <c r="G37" s="65">
        <v>0</v>
      </c>
      <c r="H37" s="65">
        <v>0</v>
      </c>
      <c r="J37" s="71">
        <v>0</v>
      </c>
      <c r="K37" s="65">
        <v>0</v>
      </c>
      <c r="L37" s="74">
        <v>0</v>
      </c>
      <c r="M37" s="74">
        <v>0</v>
      </c>
      <c r="N37" s="86"/>
      <c r="O37" s="86"/>
      <c r="P37" s="86"/>
      <c r="Q37" s="86"/>
    </row>
    <row r="38" spans="1:17" ht="28.05" customHeight="1" x14ac:dyDescent="0.4">
      <c r="B38" s="66">
        <v>2</v>
      </c>
      <c r="C38" s="73">
        <v>0</v>
      </c>
      <c r="D38" s="74">
        <v>0</v>
      </c>
      <c r="E38" s="75">
        <v>0</v>
      </c>
      <c r="F38" s="75">
        <v>0</v>
      </c>
      <c r="G38" s="65">
        <v>0</v>
      </c>
      <c r="H38" s="65">
        <v>0</v>
      </c>
      <c r="J38" s="71">
        <v>0</v>
      </c>
      <c r="K38" s="65">
        <v>0</v>
      </c>
      <c r="L38" s="74">
        <v>0</v>
      </c>
      <c r="M38" s="74">
        <v>0</v>
      </c>
      <c r="N38" s="86"/>
      <c r="O38" s="86"/>
      <c r="P38" s="86"/>
      <c r="Q38" s="86"/>
    </row>
    <row r="39" spans="1:17" ht="28.05" customHeight="1" x14ac:dyDescent="0.4">
      <c r="B39" s="66">
        <v>3</v>
      </c>
      <c r="C39" s="73">
        <v>0</v>
      </c>
      <c r="D39" s="74">
        <v>0</v>
      </c>
      <c r="E39" s="75">
        <v>0</v>
      </c>
      <c r="F39" s="75">
        <v>0</v>
      </c>
      <c r="G39" s="65">
        <v>0</v>
      </c>
      <c r="H39" s="65">
        <v>0</v>
      </c>
      <c r="J39" s="71">
        <v>0</v>
      </c>
      <c r="K39" s="65">
        <v>0</v>
      </c>
      <c r="L39" s="74">
        <v>0</v>
      </c>
      <c r="M39" s="74">
        <v>0</v>
      </c>
      <c r="N39" s="86"/>
      <c r="O39" s="86"/>
      <c r="P39" s="86"/>
      <c r="Q39" s="86"/>
    </row>
    <row r="40" spans="1:17" ht="28.05" customHeight="1" x14ac:dyDescent="0.4">
      <c r="B40" s="66">
        <v>4</v>
      </c>
      <c r="C40" s="73">
        <v>0</v>
      </c>
      <c r="D40" s="74">
        <v>0</v>
      </c>
      <c r="E40" s="75">
        <v>0</v>
      </c>
      <c r="F40" s="75">
        <v>0</v>
      </c>
      <c r="G40" s="65">
        <v>0</v>
      </c>
      <c r="H40" s="65">
        <v>0</v>
      </c>
      <c r="J40" s="71">
        <v>0</v>
      </c>
      <c r="K40" s="65">
        <v>0</v>
      </c>
      <c r="L40" s="74">
        <v>0</v>
      </c>
      <c r="M40" s="74">
        <v>0</v>
      </c>
      <c r="N40" s="86"/>
      <c r="O40" s="86"/>
      <c r="P40" s="86"/>
      <c r="Q40" s="86"/>
    </row>
    <row r="41" spans="1:17" ht="28.05" customHeight="1" x14ac:dyDescent="0.4">
      <c r="B41" s="66">
        <v>5</v>
      </c>
      <c r="C41" s="73">
        <v>0</v>
      </c>
      <c r="D41" s="74">
        <v>0</v>
      </c>
      <c r="E41" s="75">
        <v>0</v>
      </c>
      <c r="F41" s="75">
        <v>0</v>
      </c>
      <c r="G41" s="65">
        <v>0</v>
      </c>
      <c r="H41" s="65">
        <v>0</v>
      </c>
      <c r="J41" s="71">
        <v>0</v>
      </c>
      <c r="K41" s="65">
        <v>0</v>
      </c>
      <c r="L41" s="74">
        <v>0</v>
      </c>
      <c r="M41" s="74">
        <v>0</v>
      </c>
      <c r="N41" s="86"/>
      <c r="O41" s="86"/>
      <c r="P41" s="86"/>
      <c r="Q41" s="86"/>
    </row>
    <row r="42" spans="1:17" ht="28.05" customHeight="1" x14ac:dyDescent="0.4">
      <c r="B42" s="66">
        <v>6</v>
      </c>
      <c r="C42" s="73">
        <v>0</v>
      </c>
      <c r="D42" s="74">
        <v>0</v>
      </c>
      <c r="E42" s="75">
        <v>0</v>
      </c>
      <c r="F42" s="75">
        <v>0</v>
      </c>
      <c r="G42" s="65">
        <v>0</v>
      </c>
      <c r="H42" s="65">
        <v>0</v>
      </c>
      <c r="J42" s="71">
        <v>0</v>
      </c>
      <c r="K42" s="65">
        <v>0</v>
      </c>
      <c r="L42" s="74">
        <v>0</v>
      </c>
      <c r="M42" s="74">
        <v>0</v>
      </c>
      <c r="N42" s="86"/>
      <c r="O42" s="86"/>
      <c r="P42" s="86"/>
      <c r="Q42" s="86"/>
    </row>
    <row r="43" spans="1:17" ht="28.05" customHeight="1" x14ac:dyDescent="0.4">
      <c r="B43" s="66">
        <v>7</v>
      </c>
      <c r="C43" s="73">
        <v>0</v>
      </c>
      <c r="D43" s="74">
        <v>0</v>
      </c>
      <c r="E43" s="75">
        <v>0</v>
      </c>
      <c r="F43" s="75">
        <v>0</v>
      </c>
      <c r="G43" s="65">
        <v>0</v>
      </c>
      <c r="H43" s="65">
        <v>0</v>
      </c>
      <c r="J43" s="71">
        <v>0</v>
      </c>
      <c r="K43" s="65">
        <v>0</v>
      </c>
      <c r="L43" s="74">
        <v>0</v>
      </c>
      <c r="M43" s="74">
        <v>0</v>
      </c>
      <c r="N43" s="86"/>
      <c r="O43" s="86"/>
      <c r="P43" s="86"/>
      <c r="Q43" s="86"/>
    </row>
    <row r="44" spans="1:17" ht="28.05" customHeight="1" x14ac:dyDescent="0.4">
      <c r="B44" s="66">
        <v>8</v>
      </c>
      <c r="C44" s="73">
        <v>0</v>
      </c>
      <c r="D44" s="74">
        <v>0</v>
      </c>
      <c r="E44" s="75">
        <v>0</v>
      </c>
      <c r="F44" s="75">
        <v>0</v>
      </c>
      <c r="G44" s="65">
        <v>0</v>
      </c>
      <c r="H44" s="65">
        <v>0</v>
      </c>
      <c r="J44" s="71">
        <v>0</v>
      </c>
      <c r="K44" s="65">
        <v>0</v>
      </c>
      <c r="L44" s="74">
        <v>0</v>
      </c>
      <c r="M44" s="74">
        <v>0</v>
      </c>
      <c r="N44" s="86"/>
      <c r="O44" s="86"/>
      <c r="P44" s="86"/>
      <c r="Q44" s="86"/>
    </row>
    <row r="45" spans="1:17" ht="28.05" customHeight="1" x14ac:dyDescent="0.4">
      <c r="B45" s="66">
        <v>9</v>
      </c>
      <c r="C45" s="73">
        <v>0</v>
      </c>
      <c r="D45" s="74">
        <v>0</v>
      </c>
      <c r="E45" s="75">
        <v>0</v>
      </c>
      <c r="F45" s="75">
        <v>0</v>
      </c>
      <c r="G45" s="65">
        <v>0</v>
      </c>
      <c r="H45" s="65">
        <v>0</v>
      </c>
      <c r="J45" s="71">
        <v>0</v>
      </c>
      <c r="K45" s="65">
        <v>0</v>
      </c>
      <c r="L45" s="74">
        <v>0</v>
      </c>
      <c r="M45" s="74">
        <v>0</v>
      </c>
      <c r="N45" s="86"/>
      <c r="O45" s="86"/>
      <c r="P45" s="86"/>
      <c r="Q45" s="86"/>
    </row>
    <row r="46" spans="1:17" ht="28.05" customHeight="1" x14ac:dyDescent="0.4">
      <c r="B46" s="66">
        <v>10</v>
      </c>
      <c r="C46" s="73">
        <v>0</v>
      </c>
      <c r="D46" s="74">
        <v>0</v>
      </c>
      <c r="E46" s="75">
        <v>0</v>
      </c>
      <c r="F46" s="75">
        <v>0</v>
      </c>
      <c r="G46" s="65">
        <v>0</v>
      </c>
      <c r="H46" s="65">
        <v>0</v>
      </c>
      <c r="J46" s="71">
        <v>0</v>
      </c>
      <c r="K46" s="65">
        <v>0</v>
      </c>
      <c r="L46" s="74">
        <v>0</v>
      </c>
      <c r="M46" s="74">
        <v>0</v>
      </c>
      <c r="N46" s="86"/>
      <c r="O46" s="86"/>
      <c r="P46" s="86"/>
      <c r="Q46" s="86"/>
    </row>
    <row r="47" spans="1:17" ht="28.05" customHeight="1" x14ac:dyDescent="0.4">
      <c r="B47" s="66">
        <v>11</v>
      </c>
      <c r="C47" s="73">
        <v>0</v>
      </c>
      <c r="D47" s="74">
        <v>0</v>
      </c>
      <c r="E47" s="75">
        <v>0</v>
      </c>
      <c r="F47" s="75">
        <v>0</v>
      </c>
      <c r="G47" s="65">
        <v>0</v>
      </c>
      <c r="H47" s="65">
        <v>0</v>
      </c>
      <c r="J47" s="71">
        <v>0</v>
      </c>
      <c r="K47" s="65">
        <v>0</v>
      </c>
      <c r="L47" s="74">
        <v>0</v>
      </c>
      <c r="M47" s="74">
        <v>0</v>
      </c>
      <c r="N47" s="86"/>
      <c r="O47" s="86"/>
      <c r="P47" s="86"/>
      <c r="Q47" s="86"/>
    </row>
    <row r="48" spans="1:17" ht="28.05" customHeight="1" x14ac:dyDescent="0.4">
      <c r="B48" s="66">
        <v>12</v>
      </c>
      <c r="C48" s="73">
        <v>0</v>
      </c>
      <c r="D48" s="74">
        <v>0</v>
      </c>
      <c r="E48" s="75">
        <v>0</v>
      </c>
      <c r="F48" s="75">
        <v>0</v>
      </c>
      <c r="G48" s="65">
        <v>0</v>
      </c>
      <c r="H48" s="65">
        <v>0</v>
      </c>
      <c r="J48" s="71">
        <v>0</v>
      </c>
      <c r="K48" s="65">
        <v>0</v>
      </c>
      <c r="L48" s="74">
        <v>0</v>
      </c>
      <c r="M48" s="74">
        <v>0</v>
      </c>
      <c r="N48" s="86"/>
      <c r="O48" s="86"/>
      <c r="P48" s="86"/>
      <c r="Q48" s="86"/>
    </row>
    <row r="49" spans="2:17" ht="28.05" customHeight="1" x14ac:dyDescent="0.4">
      <c r="B49" s="66">
        <v>13</v>
      </c>
      <c r="C49" s="73">
        <v>0</v>
      </c>
      <c r="D49" s="74">
        <v>0</v>
      </c>
      <c r="E49" s="75">
        <v>0</v>
      </c>
      <c r="F49" s="75">
        <v>0</v>
      </c>
      <c r="G49" s="65">
        <v>0</v>
      </c>
      <c r="H49" s="65">
        <v>0</v>
      </c>
      <c r="J49" s="71">
        <v>0</v>
      </c>
      <c r="K49" s="65">
        <v>0</v>
      </c>
      <c r="L49" s="74">
        <v>0</v>
      </c>
      <c r="M49" s="74">
        <v>0</v>
      </c>
      <c r="N49" s="86"/>
      <c r="O49" s="86"/>
      <c r="P49" s="86"/>
      <c r="Q49" s="86"/>
    </row>
    <row r="50" spans="2:17" ht="28.05" customHeight="1" x14ac:dyDescent="0.4">
      <c r="B50" s="66">
        <v>14</v>
      </c>
      <c r="C50" s="73">
        <v>0</v>
      </c>
      <c r="D50" s="74">
        <v>0</v>
      </c>
      <c r="E50" s="75">
        <v>0</v>
      </c>
      <c r="F50" s="75">
        <v>0</v>
      </c>
      <c r="G50" s="65">
        <v>0</v>
      </c>
      <c r="H50" s="65">
        <v>0</v>
      </c>
      <c r="J50" s="71">
        <v>0</v>
      </c>
      <c r="K50" s="65">
        <v>0</v>
      </c>
      <c r="L50" s="74">
        <v>0</v>
      </c>
      <c r="M50" s="74">
        <v>0</v>
      </c>
      <c r="N50" s="87"/>
      <c r="O50" s="87"/>
      <c r="P50" s="87"/>
      <c r="Q50" s="87"/>
    </row>
    <row r="51" spans="2:17" ht="25.95" customHeight="1" x14ac:dyDescent="0.4">
      <c r="B51" s="93" t="s">
        <v>178</v>
      </c>
      <c r="C51" s="93"/>
      <c r="D51" s="93"/>
      <c r="E51" s="93"/>
      <c r="F51" s="93"/>
      <c r="G51" s="93"/>
      <c r="H51" s="93"/>
      <c r="I51" s="93"/>
      <c r="J51" s="93"/>
      <c r="K51" s="93"/>
      <c r="L51" s="76">
        <f>SUM(L37:L50)</f>
        <v>0</v>
      </c>
      <c r="M51" s="82">
        <f>SUM(M37:M50)</f>
        <v>0</v>
      </c>
      <c r="N51" s="110"/>
      <c r="O51" s="110"/>
      <c r="P51" s="110"/>
      <c r="Q51" s="110"/>
    </row>
    <row r="52" spans="2:17" ht="25.95" customHeight="1" x14ac:dyDescent="0.4">
      <c r="B52" s="107" t="s">
        <v>203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8" t="str">
        <f>IFERROR(H25/M51,"")</f>
        <v/>
      </c>
      <c r="M52" s="109"/>
      <c r="N52" s="110"/>
      <c r="O52" s="110"/>
      <c r="P52" s="110"/>
      <c r="Q52" s="110"/>
    </row>
  </sheetData>
  <mergeCells count="46">
    <mergeCell ref="N49:Q49"/>
    <mergeCell ref="N50:Q50"/>
    <mergeCell ref="B51:K51"/>
    <mergeCell ref="B52:K52"/>
    <mergeCell ref="L52:M52"/>
    <mergeCell ref="N51:Q52"/>
    <mergeCell ref="N44:Q44"/>
    <mergeCell ref="N45:Q45"/>
    <mergeCell ref="N46:Q46"/>
    <mergeCell ref="N47:Q47"/>
    <mergeCell ref="N48:Q48"/>
    <mergeCell ref="N39:Q39"/>
    <mergeCell ref="N40:Q40"/>
    <mergeCell ref="N41:Q41"/>
    <mergeCell ref="N42:Q42"/>
    <mergeCell ref="N43:Q43"/>
    <mergeCell ref="B34:Q34"/>
    <mergeCell ref="B35:H35"/>
    <mergeCell ref="N36:Q36"/>
    <mergeCell ref="N37:Q37"/>
    <mergeCell ref="N38:Q38"/>
    <mergeCell ref="B30:C30"/>
    <mergeCell ref="D30:E30"/>
    <mergeCell ref="J30:K30"/>
    <mergeCell ref="J31:K31"/>
    <mergeCell ref="J32:N32"/>
    <mergeCell ref="G30:H30"/>
    <mergeCell ref="B27:H27"/>
    <mergeCell ref="B28:C28"/>
    <mergeCell ref="J28:K28"/>
    <mergeCell ref="B29:C29"/>
    <mergeCell ref="J29:K29"/>
    <mergeCell ref="J27:M27"/>
    <mergeCell ref="B8:H8"/>
    <mergeCell ref="J8:Q8"/>
    <mergeCell ref="B25:D25"/>
    <mergeCell ref="M6:N6"/>
    <mergeCell ref="O6:Q6"/>
    <mergeCell ref="G6:J6"/>
    <mergeCell ref="B1:Q1"/>
    <mergeCell ref="B2:Q2"/>
    <mergeCell ref="B4:Q4"/>
    <mergeCell ref="C5:E5"/>
    <mergeCell ref="G5:J5"/>
    <mergeCell ref="O5:Q5"/>
    <mergeCell ref="M5:N5"/>
  </mergeCells>
  <phoneticPr fontId="3" type="noConversion"/>
  <dataValidations count="5">
    <dataValidation type="decimal" operator="greaterThan" allowBlank="1" showErrorMessage="1" errorTitle="입력 확인" error="0보다 큰 숫자를 입력하세요." sqref="L5" xr:uid="{00000000-0002-0000-0100-000001000000}">
      <formula1>0</formula1>
    </dataValidation>
    <dataValidation type="decimal" errorStyle="warning" allowBlank="1" showErrorMessage="1" errorTitle="온도 확인" error="온도(℃) 값이 범위(-30~60)를 벗어났습니다. 그대로 입력할까요?" sqref="C6" xr:uid="{00000000-0002-0000-0100-000002000000}">
      <formula1>-30</formula1>
      <formula2>60</formula2>
    </dataValidation>
    <dataValidation type="decimal" errorStyle="warning" allowBlank="1" showErrorMessage="1" errorTitle="습도 확인" error="습도(%)는 0~100 사이여야 합니다. 그대로 입력할까요?" sqref="E6" xr:uid="{00000000-0002-0000-0100-000003000000}">
      <formula1>0</formula1>
      <formula2>100</formula2>
    </dataValidation>
    <dataValidation type="decimal" errorStyle="warning" allowBlank="1" showErrorMessage="1" errorTitle="함침정도 확인" error="함침정도(%)는 0~100 사이여야 합니다. 그대로 입력할까요?" sqref="K37:K50" xr:uid="{00000000-0002-0000-0100-000004000000}">
      <formula1>0</formula1>
      <formula2>100</formula2>
    </dataValidation>
    <dataValidation type="list" errorStyle="warning" allowBlank="1" showErrorMessage="1" errorTitle="날씨" error="목록에 없는 값입니다. 그대로 입력할까요?" sqref="F6" xr:uid="{00000000-0002-0000-0100-000000000000}">
      <formula1>"맑음,흐림,비,눈"</formula1>
    </dataValidation>
  </dataValidations>
  <printOptions horizontalCentered="1"/>
  <pageMargins left="0.15748031496062992" right="0.15748031496062992" top="0.39370078740157483" bottom="0.39370078740157483" header="0.19685039370078741" footer="0.19685039370078741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B1:H88"/>
  <sheetViews>
    <sheetView showGridLines="0" workbookViewId="0">
      <pane ySplit="2" topLeftCell="A3" activePane="bottomLeft" state="frozen"/>
      <selection pane="bottomLeft" activeCell="C14" sqref="C14"/>
    </sheetView>
  </sheetViews>
  <sheetFormatPr defaultRowHeight="19.95" customHeight="1" x14ac:dyDescent="0.4"/>
  <cols>
    <col min="1" max="1" width="2" customWidth="1"/>
    <col min="2" max="2" width="36" customWidth="1"/>
    <col min="3" max="3" width="16" customWidth="1"/>
    <col min="4" max="7" width="14" customWidth="1"/>
    <col min="8" max="8" width="30" customWidth="1"/>
  </cols>
  <sheetData>
    <row r="1" spans="2:8" ht="28.05" customHeight="1" x14ac:dyDescent="0.4">
      <c r="B1" s="312" t="s">
        <v>204</v>
      </c>
      <c r="C1" s="312"/>
      <c r="D1" s="312"/>
      <c r="E1" s="312"/>
      <c r="F1" s="312"/>
      <c r="G1" s="312"/>
      <c r="H1" s="312"/>
    </row>
    <row r="2" spans="2:8" ht="22.05" customHeight="1" x14ac:dyDescent="0.4">
      <c r="B2" s="313" t="s">
        <v>205</v>
      </c>
      <c r="C2" s="313"/>
      <c r="D2" s="313"/>
      <c r="E2" s="313"/>
      <c r="F2" s="313"/>
      <c r="G2" s="313"/>
      <c r="H2" s="313"/>
    </row>
    <row r="4" spans="2:8" ht="22.05" customHeight="1" x14ac:dyDescent="0.4">
      <c r="B4" s="314" t="s">
        <v>206</v>
      </c>
      <c r="C4" s="314"/>
      <c r="D4" s="314"/>
      <c r="E4" s="314"/>
      <c r="F4" s="314"/>
      <c r="G4" s="314"/>
      <c r="H4" s="314"/>
    </row>
    <row r="5" spans="2:8" ht="22.05" customHeight="1" x14ac:dyDescent="0.4">
      <c r="B5" s="31" t="s">
        <v>207</v>
      </c>
      <c r="C5" s="315" t="s">
        <v>208</v>
      </c>
      <c r="D5" s="315"/>
      <c r="E5" s="315" t="s">
        <v>209</v>
      </c>
      <c r="F5" s="315"/>
    </row>
    <row r="6" spans="2:8" ht="30" customHeight="1" x14ac:dyDescent="0.4">
      <c r="B6" s="34">
        <f>C43</f>
        <v>33.902000000000001</v>
      </c>
      <c r="C6" s="316" t="str">
        <f>IF(ISNUMBER(G60),TEXT(G60,"0.0"),"OFF")&amp;" / "&amp;IF(ISNUMBER(G61),TEXT(G61,"0.0"),"OFF")</f>
        <v>59.4 / 59.4</v>
      </c>
      <c r="D6" s="316"/>
      <c r="E6" s="317">
        <f>C52</f>
        <v>1.6551218304634412</v>
      </c>
      <c r="F6" s="317"/>
    </row>
    <row r="8" spans="2:8" ht="22.05" customHeight="1" x14ac:dyDescent="0.4">
      <c r="B8" s="314" t="s">
        <v>210</v>
      </c>
      <c r="C8" s="314"/>
      <c r="D8" s="314"/>
      <c r="E8" s="314"/>
      <c r="F8" s="314"/>
      <c r="G8" s="314"/>
      <c r="H8" s="314"/>
    </row>
    <row r="9" spans="2:8" ht="19.95" customHeight="1" x14ac:dyDescent="0.4">
      <c r="B9" s="27" t="s">
        <v>211</v>
      </c>
      <c r="C9" s="35">
        <f>'생산일지 (4)'!AA35</f>
        <v>10</v>
      </c>
      <c r="D9" s="29" t="s">
        <v>212</v>
      </c>
      <c r="E9" s="318" t="s">
        <v>213</v>
      </c>
      <c r="F9" s="318"/>
      <c r="G9" s="318"/>
      <c r="H9" s="318"/>
    </row>
    <row r="10" spans="2:8" ht="19.95" customHeight="1" x14ac:dyDescent="0.4">
      <c r="B10" s="27" t="s">
        <v>214</v>
      </c>
      <c r="C10" s="36">
        <f>'생산일지 (4)'!R35</f>
        <v>1100</v>
      </c>
      <c r="D10" s="29" t="s">
        <v>215</v>
      </c>
      <c r="E10" s="318" t="s">
        <v>216</v>
      </c>
      <c r="F10" s="318"/>
      <c r="G10" s="318"/>
      <c r="H10" s="318"/>
    </row>
    <row r="11" spans="2:8" ht="19.95" customHeight="1" x14ac:dyDescent="0.4">
      <c r="B11" s="27" t="s">
        <v>217</v>
      </c>
      <c r="C11" s="37">
        <f>'생산일지 (4)'!Z28</f>
        <v>0.33</v>
      </c>
      <c r="D11" s="29"/>
      <c r="E11" s="318" t="s">
        <v>218</v>
      </c>
      <c r="F11" s="318"/>
      <c r="G11" s="318"/>
      <c r="H11" s="318"/>
    </row>
    <row r="13" spans="2:8" ht="22.05" customHeight="1" x14ac:dyDescent="0.4">
      <c r="B13" s="314" t="s">
        <v>219</v>
      </c>
      <c r="C13" s="314"/>
      <c r="D13" s="314"/>
      <c r="E13" s="314"/>
      <c r="F13" s="314"/>
      <c r="G13" s="314"/>
      <c r="H13" s="314"/>
    </row>
    <row r="14" spans="2:8" ht="19.95" customHeight="1" x14ac:dyDescent="0.4">
      <c r="B14" s="27" t="s">
        <v>220</v>
      </c>
      <c r="C14" s="38">
        <v>4.5999999999999996</v>
      </c>
      <c r="D14" s="29" t="s">
        <v>221</v>
      </c>
      <c r="E14" s="318" t="s">
        <v>222</v>
      </c>
      <c r="F14" s="318"/>
      <c r="G14" s="318"/>
      <c r="H14" s="318"/>
    </row>
    <row r="15" spans="2:8" ht="19.95" customHeight="1" x14ac:dyDescent="0.4">
      <c r="B15" s="27" t="s">
        <v>223</v>
      </c>
      <c r="C15" s="38">
        <v>6</v>
      </c>
      <c r="D15" s="29" t="s">
        <v>215</v>
      </c>
      <c r="E15" s="318"/>
      <c r="F15" s="318"/>
      <c r="G15" s="318"/>
      <c r="H15" s="318"/>
    </row>
    <row r="16" spans="2:8" ht="19.95" customHeight="1" x14ac:dyDescent="0.4">
      <c r="B16" s="27" t="s">
        <v>224</v>
      </c>
      <c r="C16" s="39">
        <v>10000</v>
      </c>
      <c r="D16" s="29" t="s">
        <v>225</v>
      </c>
      <c r="E16" s="318"/>
      <c r="F16" s="318"/>
      <c r="G16" s="318"/>
      <c r="H16" s="318"/>
    </row>
    <row r="17" spans="2:8" ht="19.95" customHeight="1" x14ac:dyDescent="0.4">
      <c r="B17" s="27" t="s">
        <v>226</v>
      </c>
      <c r="C17" s="38">
        <v>50</v>
      </c>
      <c r="D17" s="29" t="s">
        <v>215</v>
      </c>
      <c r="E17" s="318"/>
      <c r="F17" s="318"/>
      <c r="G17" s="318"/>
      <c r="H17" s="318"/>
    </row>
    <row r="19" spans="2:8" ht="22.05" customHeight="1" x14ac:dyDescent="0.4">
      <c r="B19" s="314" t="s">
        <v>227</v>
      </c>
      <c r="C19" s="314"/>
      <c r="D19" s="314"/>
      <c r="E19" s="314"/>
      <c r="F19" s="314"/>
      <c r="G19" s="314"/>
      <c r="H19" s="314"/>
    </row>
    <row r="20" spans="2:8" ht="19.95" customHeight="1" x14ac:dyDescent="0.4">
      <c r="B20" s="28" t="s">
        <v>125</v>
      </c>
      <c r="C20" s="28" t="s">
        <v>126</v>
      </c>
      <c r="D20" s="28" t="s">
        <v>228</v>
      </c>
      <c r="E20" s="28" t="s">
        <v>229</v>
      </c>
      <c r="F20" s="28" t="s">
        <v>230</v>
      </c>
      <c r="G20" s="319" t="s">
        <v>202</v>
      </c>
      <c r="H20" s="319"/>
    </row>
    <row r="21" spans="2:8" ht="19.95" customHeight="1" x14ac:dyDescent="0.4">
      <c r="B21" s="33" t="str">
        <f>'생산일지 (4)'!E13</f>
        <v>불포화수지</v>
      </c>
      <c r="C21" s="33" t="str">
        <f>'생산일지 (4)'!P13</f>
        <v>SC-637S</v>
      </c>
      <c r="D21" s="40">
        <f>'생산일지 (4)'!Z13</f>
        <v>350</v>
      </c>
      <c r="E21" s="41">
        <v>1.1000000000000001</v>
      </c>
      <c r="F21" s="42">
        <f t="shared" ref="F21:F34" si="0">IFERROR(D21/E21,0)</f>
        <v>318.18181818181813</v>
      </c>
      <c r="G21" s="320" t="s">
        <v>231</v>
      </c>
      <c r="H21" s="320"/>
    </row>
    <row r="22" spans="2:8" ht="19.95" customHeight="1" x14ac:dyDescent="0.4">
      <c r="B22" s="33" t="str">
        <f>'생산일지 (4)'!E14</f>
        <v>저수축제</v>
      </c>
      <c r="C22" s="33" t="str">
        <f>'생산일지 (4)'!P14</f>
        <v>PS40</v>
      </c>
      <c r="D22" s="40">
        <f>'생산일지 (4)'!Z14</f>
        <v>112.5</v>
      </c>
      <c r="E22" s="41">
        <v>1</v>
      </c>
      <c r="F22" s="42">
        <f t="shared" si="0"/>
        <v>112.5</v>
      </c>
      <c r="G22" s="320" t="s">
        <v>232</v>
      </c>
      <c r="H22" s="320"/>
    </row>
    <row r="23" spans="2:8" ht="19.95" customHeight="1" x14ac:dyDescent="0.4">
      <c r="B23" s="33" t="str">
        <f>'생산일지 (4)'!E15</f>
        <v>희석제</v>
      </c>
      <c r="C23" s="33" t="str">
        <f>'생산일지 (4)'!P15</f>
        <v>SM</v>
      </c>
      <c r="D23" s="40">
        <f>'생산일지 (4)'!Z15</f>
        <v>37.5</v>
      </c>
      <c r="E23" s="41">
        <v>0.91</v>
      </c>
      <c r="F23" s="42">
        <f t="shared" si="0"/>
        <v>41.208791208791204</v>
      </c>
      <c r="G23" s="320" t="s">
        <v>233</v>
      </c>
      <c r="H23" s="320"/>
    </row>
    <row r="24" spans="2:8" ht="19.95" customHeight="1" x14ac:dyDescent="0.4">
      <c r="B24" s="33" t="str">
        <f>'생산일지 (4)'!E16</f>
        <v>희석제</v>
      </c>
      <c r="C24" s="33" t="str">
        <f>'생산일지 (4)'!P16</f>
        <v>SM</v>
      </c>
      <c r="D24" s="40">
        <f>'생산일지 (4)'!Z16</f>
        <v>20</v>
      </c>
      <c r="E24" s="41">
        <v>0.91</v>
      </c>
      <c r="F24" s="42">
        <f t="shared" si="0"/>
        <v>21.978021978021978</v>
      </c>
      <c r="G24" s="320" t="s">
        <v>233</v>
      </c>
      <c r="H24" s="320"/>
    </row>
    <row r="25" spans="2:8" ht="19.95" customHeight="1" x14ac:dyDescent="0.4">
      <c r="B25" s="33" t="str">
        <f>'생산일지 (4)'!E17</f>
        <v>첨가제</v>
      </c>
      <c r="C25" s="33" t="str">
        <f>'생산일지 (4)'!P17</f>
        <v>K972</v>
      </c>
      <c r="D25" s="40">
        <f>'생산일지 (4)'!Z17</f>
        <v>5</v>
      </c>
      <c r="E25" s="41">
        <v>1.02</v>
      </c>
      <c r="F25" s="42">
        <f t="shared" si="0"/>
        <v>4.9019607843137258</v>
      </c>
      <c r="G25" s="320" t="s">
        <v>234</v>
      </c>
      <c r="H25" s="320"/>
    </row>
    <row r="26" spans="2:8" ht="19.95" customHeight="1" x14ac:dyDescent="0.4">
      <c r="B26" s="33" t="str">
        <f>'생산일지 (4)'!E18</f>
        <v>첨가제</v>
      </c>
      <c r="C26" s="33" t="str">
        <f>'생산일지 (4)'!P18</f>
        <v>K996</v>
      </c>
      <c r="D26" s="40">
        <f>'생산일지 (4)'!Z18</f>
        <v>6.6</v>
      </c>
      <c r="E26" s="41">
        <v>1.04</v>
      </c>
      <c r="F26" s="42">
        <f t="shared" si="0"/>
        <v>6.3461538461538458</v>
      </c>
      <c r="G26" s="320" t="s">
        <v>235</v>
      </c>
      <c r="H26" s="320"/>
    </row>
    <row r="27" spans="2:8" ht="19.95" customHeight="1" x14ac:dyDescent="0.4">
      <c r="B27" s="33" t="str">
        <f>'생산일지 (4)'!E19</f>
        <v>중합금지제</v>
      </c>
      <c r="C27" s="33" t="str">
        <f>'생산일지 (4)'!P19</f>
        <v>CBA109N</v>
      </c>
      <c r="D27" s="40">
        <f>'생산일지 (4)'!Z19</f>
        <v>8.5</v>
      </c>
      <c r="E27" s="41">
        <v>0.91</v>
      </c>
      <c r="F27" s="42">
        <f t="shared" si="0"/>
        <v>9.3406593406593412</v>
      </c>
      <c r="G27" s="320" t="s">
        <v>236</v>
      </c>
      <c r="H27" s="320"/>
    </row>
    <row r="28" spans="2:8" ht="19.95" customHeight="1" x14ac:dyDescent="0.4">
      <c r="B28" s="33" t="str">
        <f>'생산일지 (4)'!E20</f>
        <v>경화제</v>
      </c>
      <c r="C28" s="33" t="str">
        <f>'생산일지 (4)'!P20</f>
        <v>TBPB</v>
      </c>
      <c r="D28" s="40">
        <f>'생산일지 (4)'!Z20</f>
        <v>6</v>
      </c>
      <c r="E28" s="41">
        <v>1.04</v>
      </c>
      <c r="F28" s="42">
        <f t="shared" si="0"/>
        <v>5.7692307692307692</v>
      </c>
      <c r="G28" s="320" t="s">
        <v>237</v>
      </c>
      <c r="H28" s="320"/>
    </row>
    <row r="29" spans="2:8" ht="19.95" customHeight="1" x14ac:dyDescent="0.4">
      <c r="B29" s="33" t="str">
        <f>'생산일지 (4)'!E21</f>
        <v>초기 증점조절제</v>
      </c>
      <c r="C29" s="33" t="str">
        <f>'생산일지 (4)'!P21</f>
        <v>CBA308S</v>
      </c>
      <c r="D29" s="40">
        <f>'생산일지 (4)'!Z21</f>
        <v>7.5</v>
      </c>
      <c r="E29" s="41">
        <v>0.98</v>
      </c>
      <c r="F29" s="42">
        <f t="shared" si="0"/>
        <v>7.6530612244897958</v>
      </c>
      <c r="G29" s="320" t="s">
        <v>238</v>
      </c>
      <c r="H29" s="320"/>
    </row>
    <row r="30" spans="2:8" ht="19.95" customHeight="1" x14ac:dyDescent="0.4">
      <c r="B30" s="33" t="str">
        <f>'생산일지 (4)'!E22</f>
        <v>저수축제</v>
      </c>
      <c r="C30" s="33" t="str">
        <f>'생산일지 (4)'!P22</f>
        <v>FHP</v>
      </c>
      <c r="D30" s="40">
        <f>'생산일지 (4)'!Z22</f>
        <v>25</v>
      </c>
      <c r="E30" s="41">
        <v>0.96</v>
      </c>
      <c r="F30" s="42">
        <f t="shared" si="0"/>
        <v>26.041666666666668</v>
      </c>
      <c r="G30" s="320" t="s">
        <v>239</v>
      </c>
      <c r="H30" s="320"/>
    </row>
    <row r="31" spans="2:8" ht="19.95" customHeight="1" x14ac:dyDescent="0.4">
      <c r="B31" s="33" t="str">
        <f>'생산일지 (4)'!E23</f>
        <v>이형제</v>
      </c>
      <c r="C31" s="33" t="str">
        <f>'생산일지 (4)'!P23</f>
        <v>HI-FLOW</v>
      </c>
      <c r="D31" s="40">
        <f>'생산일지 (4)'!Z23</f>
        <v>20</v>
      </c>
      <c r="E31" s="41">
        <v>1.1000000000000001</v>
      </c>
      <c r="F31" s="42">
        <f t="shared" si="0"/>
        <v>18.18181818181818</v>
      </c>
      <c r="G31" s="320" t="s">
        <v>240</v>
      </c>
      <c r="H31" s="320"/>
    </row>
    <row r="32" spans="2:8" ht="19.95" customHeight="1" x14ac:dyDescent="0.4">
      <c r="B32" s="33" t="str">
        <f>'생산일지 (4)'!E24</f>
        <v>충진제</v>
      </c>
      <c r="C32" s="33" t="str">
        <f>'생산일지 (4)'!P24</f>
        <v>CaCO3</v>
      </c>
      <c r="D32" s="40">
        <f>'생산일지 (4)'!Z24</f>
        <v>825</v>
      </c>
      <c r="E32" s="41">
        <v>2.7</v>
      </c>
      <c r="F32" s="42">
        <f t="shared" si="0"/>
        <v>305.55555555555554</v>
      </c>
      <c r="G32" s="320" t="s">
        <v>241</v>
      </c>
      <c r="H32" s="320"/>
    </row>
    <row r="33" spans="2:8" ht="19.95" customHeight="1" x14ac:dyDescent="0.4">
      <c r="B33" s="33" t="str">
        <f>'생산일지 (4)'!E26</f>
        <v>증점제</v>
      </c>
      <c r="C33" s="33" t="str">
        <f>'생산일지 (4)'!P26</f>
        <v>MGO-813</v>
      </c>
      <c r="D33" s="40">
        <f>'생산일지 (4)'!Z26</f>
        <v>14</v>
      </c>
      <c r="E33" s="41">
        <v>1.5</v>
      </c>
      <c r="F33" s="42">
        <f t="shared" si="0"/>
        <v>9.3333333333333339</v>
      </c>
      <c r="G33" s="320" t="s">
        <v>242</v>
      </c>
      <c r="H33" s="320"/>
    </row>
    <row r="34" spans="2:8" ht="19.95" customHeight="1" x14ac:dyDescent="0.4">
      <c r="B34" s="33" t="str">
        <f>'생산일지 (4)'!E27</f>
        <v>조색제</v>
      </c>
      <c r="C34" s="33" t="str">
        <f>'생산일지 (4)'!P27</f>
        <v>GRAY (9098)</v>
      </c>
      <c r="D34" s="40">
        <f>'생산일지 (4)'!Z27</f>
        <v>20</v>
      </c>
      <c r="E34" s="41">
        <v>2.0499999999999998</v>
      </c>
      <c r="F34" s="42">
        <f t="shared" si="0"/>
        <v>9.7560975609756113</v>
      </c>
      <c r="G34" s="320" t="s">
        <v>243</v>
      </c>
      <c r="H34" s="320"/>
    </row>
    <row r="35" spans="2:8" ht="19.95" customHeight="1" x14ac:dyDescent="0.4">
      <c r="B35" s="319" t="s">
        <v>244</v>
      </c>
      <c r="C35" s="319"/>
      <c r="D35" s="43">
        <f>SUM(D21:D34)</f>
        <v>1457.6</v>
      </c>
      <c r="E35" s="28"/>
      <c r="F35" s="44">
        <f>SUM(F21:F34)</f>
        <v>896.74816863182798</v>
      </c>
      <c r="G35" s="319"/>
      <c r="H35" s="319"/>
    </row>
    <row r="36" spans="2:8" ht="19.95" customHeight="1" x14ac:dyDescent="0.4">
      <c r="B36" s="27" t="s">
        <v>245</v>
      </c>
      <c r="C36" s="45">
        <f>IFERROR(D35/F35,0)</f>
        <v>1.6254284658577733</v>
      </c>
      <c r="D36" s="29" t="s">
        <v>246</v>
      </c>
      <c r="E36" s="318" t="s">
        <v>247</v>
      </c>
      <c r="F36" s="318"/>
      <c r="G36" s="318"/>
      <c r="H36" s="318"/>
    </row>
    <row r="37" spans="2:8" ht="19.95" customHeight="1" x14ac:dyDescent="0.4">
      <c r="B37" s="33" t="str">
        <f>'생산일지 (4)'!E28</f>
        <v>유리섬유</v>
      </c>
      <c r="C37" s="33" t="str">
        <f>'생산일지 (4)'!P28</f>
        <v>4800TEX</v>
      </c>
      <c r="D37" s="40">
        <f>'생산일지 (4)'!AE28</f>
        <v>717.92238805970146</v>
      </c>
      <c r="E37" s="41">
        <v>2.54</v>
      </c>
      <c r="F37" s="42">
        <f>IFERROR(D37/E37,0)</f>
        <v>282.64660947232341</v>
      </c>
      <c r="G37" s="320" t="s">
        <v>248</v>
      </c>
      <c r="H37" s="320"/>
    </row>
    <row r="38" spans="2:8" ht="31.95" customHeight="1" x14ac:dyDescent="0.4">
      <c r="B38" s="46" t="s">
        <v>249</v>
      </c>
      <c r="C38" s="47">
        <f>IFERROR((D35+D37)/(F35+F37),0)</f>
        <v>1.8446091405939589</v>
      </c>
      <c r="D38" s="29" t="s">
        <v>246</v>
      </c>
      <c r="E38" s="318" t="s">
        <v>250</v>
      </c>
      <c r="F38" s="318"/>
      <c r="G38" s="318"/>
      <c r="H38" s="318"/>
    </row>
    <row r="39" spans="2:8" ht="22.05" customHeight="1" x14ac:dyDescent="0.4">
      <c r="B39" s="314" t="s">
        <v>251</v>
      </c>
      <c r="C39" s="314"/>
      <c r="D39" s="314"/>
      <c r="E39" s="314"/>
      <c r="F39" s="314"/>
      <c r="G39" s="314"/>
      <c r="H39" s="314"/>
    </row>
    <row r="40" spans="2:8" ht="19.95" customHeight="1" x14ac:dyDescent="0.4">
      <c r="B40" s="27" t="s">
        <v>252</v>
      </c>
      <c r="C40" s="48">
        <f>C14*C10</f>
        <v>5060</v>
      </c>
      <c r="D40" s="29" t="s">
        <v>253</v>
      </c>
      <c r="E40" s="318" t="s">
        <v>254</v>
      </c>
      <c r="F40" s="318"/>
      <c r="G40" s="318"/>
      <c r="H40" s="318"/>
    </row>
    <row r="41" spans="2:8" ht="19.95" customHeight="1" x14ac:dyDescent="0.4">
      <c r="B41" s="27" t="s">
        <v>255</v>
      </c>
      <c r="C41" s="48">
        <f>C40*(1-C11)</f>
        <v>3390.2</v>
      </c>
      <c r="D41" s="29" t="s">
        <v>253</v>
      </c>
      <c r="E41" s="318" t="s">
        <v>256</v>
      </c>
      <c r="F41" s="318"/>
      <c r="G41" s="318"/>
      <c r="H41" s="318"/>
    </row>
    <row r="42" spans="2:8" ht="19.95" customHeight="1" x14ac:dyDescent="0.4">
      <c r="B42" s="27" t="s">
        <v>257</v>
      </c>
      <c r="C42" s="48">
        <f>C40*C11</f>
        <v>1669.8000000000002</v>
      </c>
      <c r="D42" s="29" t="s">
        <v>253</v>
      </c>
      <c r="E42" s="318"/>
      <c r="F42" s="318"/>
      <c r="G42" s="318"/>
      <c r="H42" s="318"/>
    </row>
    <row r="43" spans="2:8" ht="19.95" customHeight="1" x14ac:dyDescent="0.4">
      <c r="B43" s="46" t="s">
        <v>258</v>
      </c>
      <c r="C43" s="49">
        <f>C41*C9/1000</f>
        <v>33.902000000000001</v>
      </c>
      <c r="D43" s="29" t="s">
        <v>187</v>
      </c>
      <c r="E43" s="318" t="s">
        <v>259</v>
      </c>
      <c r="F43" s="318"/>
      <c r="G43" s="318"/>
      <c r="H43" s="318"/>
    </row>
    <row r="44" spans="2:8" ht="19.95" customHeight="1" x14ac:dyDescent="0.4">
      <c r="B44" s="27" t="s">
        <v>260</v>
      </c>
      <c r="C44" s="50">
        <f>IFERROR(C43/C36,0)</f>
        <v>20.857269767395881</v>
      </c>
      <c r="D44" s="29" t="s">
        <v>261</v>
      </c>
      <c r="E44" s="318"/>
      <c r="F44" s="318"/>
      <c r="G44" s="318"/>
      <c r="H44" s="318"/>
    </row>
    <row r="45" spans="2:8" ht="19.95" customHeight="1" x14ac:dyDescent="0.4">
      <c r="B45" s="27" t="s">
        <v>262</v>
      </c>
      <c r="C45" s="51">
        <f>IFERROR(C44/60000/(C10/1000),0)</f>
        <v>3.1601923889993755E-4</v>
      </c>
      <c r="D45" s="29" t="s">
        <v>263</v>
      </c>
      <c r="E45" s="318"/>
      <c r="F45" s="318"/>
      <c r="G45" s="318"/>
      <c r="H45" s="318"/>
    </row>
    <row r="46" spans="2:8" ht="19.95" customHeight="1" x14ac:dyDescent="0.4">
      <c r="B46" s="27" t="s">
        <v>264</v>
      </c>
      <c r="C46" s="48">
        <f>C36*1000*9.81*C17/1000</f>
        <v>797.27266250323783</v>
      </c>
      <c r="D46" s="29" t="s">
        <v>265</v>
      </c>
      <c r="E46" s="318" t="s">
        <v>266</v>
      </c>
      <c r="F46" s="318"/>
      <c r="G46" s="318"/>
      <c r="H46" s="318"/>
    </row>
    <row r="47" spans="2:8" ht="19.95" customHeight="1" x14ac:dyDescent="0.4">
      <c r="B47" s="27" t="s">
        <v>267</v>
      </c>
      <c r="C47" s="48">
        <f>IFERROR(C46/(12*(C16/1000)*(C15/1000)),0)</f>
        <v>1107.3231423656082</v>
      </c>
      <c r="D47" s="29" t="s">
        <v>268</v>
      </c>
      <c r="E47" s="318" t="s">
        <v>269</v>
      </c>
      <c r="F47" s="318"/>
      <c r="G47" s="318"/>
      <c r="H47" s="318"/>
    </row>
    <row r="48" spans="2:8" ht="19.95" customHeight="1" x14ac:dyDescent="0.4">
      <c r="B48" s="27" t="s">
        <v>270</v>
      </c>
      <c r="C48" s="52">
        <f>C9/60/2</f>
        <v>8.3333333333333329E-2</v>
      </c>
      <c r="D48" s="29" t="s">
        <v>271</v>
      </c>
      <c r="E48" s="318" t="s">
        <v>272</v>
      </c>
      <c r="F48" s="318"/>
      <c r="G48" s="318"/>
      <c r="H48" s="318"/>
    </row>
    <row r="49" spans="2:8" ht="19.95" customHeight="1" x14ac:dyDescent="0.4">
      <c r="B49" s="27" t="s">
        <v>273</v>
      </c>
      <c r="C49" s="51">
        <f>IFERROR(C45/(2*C47),0)</f>
        <v>1.4269512972736036E-7</v>
      </c>
      <c r="D49" s="29"/>
      <c r="E49" s="318" t="s">
        <v>274</v>
      </c>
      <c r="F49" s="318"/>
      <c r="G49" s="318"/>
      <c r="H49" s="318"/>
    </row>
    <row r="50" spans="2:8" ht="19.95" customHeight="1" x14ac:dyDescent="0.4">
      <c r="B50" s="27" t="s">
        <v>275</v>
      </c>
      <c r="C50" s="51">
        <f>IFERROR(SQRT(C49^2+(C48/C47)^3/27),0)</f>
        <v>1.9012574998460667E-7</v>
      </c>
      <c r="D50" s="29"/>
      <c r="E50" s="318"/>
      <c r="F50" s="318"/>
      <c r="G50" s="318"/>
      <c r="H50" s="318"/>
    </row>
    <row r="51" spans="2:8" ht="19.95" customHeight="1" x14ac:dyDescent="0.4">
      <c r="B51" s="46" t="s">
        <v>276</v>
      </c>
      <c r="C51" s="53">
        <f>IFERROR(((C49+C50)^(1/3)-(C50-C49)^(1/3))*1000,0)</f>
        <v>3.3102436609268824</v>
      </c>
      <c r="D51" s="29" t="s">
        <v>215</v>
      </c>
      <c r="E51" s="318" t="s">
        <v>277</v>
      </c>
      <c r="F51" s="318"/>
      <c r="G51" s="318"/>
      <c r="H51" s="318"/>
    </row>
    <row r="52" spans="2:8" ht="19.95" customHeight="1" x14ac:dyDescent="0.4">
      <c r="B52" s="27" t="s">
        <v>278</v>
      </c>
      <c r="C52" s="54">
        <f>C51/2</f>
        <v>1.6551218304634412</v>
      </c>
      <c r="D52" s="29" t="s">
        <v>215</v>
      </c>
      <c r="E52" s="318" t="s">
        <v>279</v>
      </c>
      <c r="F52" s="318"/>
      <c r="G52" s="318"/>
      <c r="H52" s="318"/>
    </row>
    <row r="53" spans="2:8" ht="19.95" customHeight="1" x14ac:dyDescent="0.4">
      <c r="B53" s="27" t="s">
        <v>280</v>
      </c>
      <c r="C53" s="54">
        <f>IFERROR((C48*(C51/1000)+C47*(C51/1000)^3)*60000*C36/C9/(1-C11),0)</f>
        <v>4.6000000000000005</v>
      </c>
      <c r="D53" s="29" t="s">
        <v>221</v>
      </c>
      <c r="E53" s="318" t="s">
        <v>281</v>
      </c>
      <c r="F53" s="318"/>
      <c r="G53" s="318"/>
      <c r="H53" s="318"/>
    </row>
    <row r="55" spans="2:8" ht="22.05" customHeight="1" x14ac:dyDescent="0.4">
      <c r="B55" s="314" t="s">
        <v>282</v>
      </c>
      <c r="C55" s="314"/>
      <c r="D55" s="314"/>
      <c r="E55" s="314"/>
      <c r="F55" s="314"/>
      <c r="G55" s="314"/>
      <c r="H55" s="314"/>
    </row>
    <row r="56" spans="2:8" ht="19.95" customHeight="1" x14ac:dyDescent="0.4">
      <c r="B56" s="27" t="s">
        <v>283</v>
      </c>
      <c r="C56" s="38">
        <v>4800</v>
      </c>
      <c r="D56" s="29" t="s">
        <v>284</v>
      </c>
      <c r="E56" s="318" t="s">
        <v>285</v>
      </c>
      <c r="F56" s="318"/>
      <c r="G56" s="318"/>
      <c r="H56" s="318"/>
    </row>
    <row r="57" spans="2:8" ht="19.95" customHeight="1" x14ac:dyDescent="0.4">
      <c r="B57" s="27" t="s">
        <v>286</v>
      </c>
      <c r="C57" s="38">
        <v>1</v>
      </c>
      <c r="D57" s="29" t="s">
        <v>287</v>
      </c>
      <c r="E57" s="318" t="s">
        <v>288</v>
      </c>
      <c r="F57" s="318"/>
      <c r="G57" s="318"/>
      <c r="H57" s="318"/>
    </row>
    <row r="58" spans="2:8" ht="19.95" customHeight="1" x14ac:dyDescent="0.4">
      <c r="B58" s="27" t="s">
        <v>289</v>
      </c>
      <c r="C58" s="55">
        <f>IFERROR(C56*25.4*C57/1000000,0)</f>
        <v>0.12192</v>
      </c>
      <c r="D58" s="29" t="s">
        <v>290</v>
      </c>
      <c r="E58" s="318" t="s">
        <v>291</v>
      </c>
      <c r="F58" s="318"/>
      <c r="G58" s="318"/>
      <c r="H58" s="318"/>
    </row>
    <row r="59" spans="2:8" ht="19.95" customHeight="1" x14ac:dyDescent="0.4">
      <c r="B59" s="28" t="s">
        <v>292</v>
      </c>
      <c r="C59" s="28" t="s">
        <v>293</v>
      </c>
      <c r="D59" s="28" t="s">
        <v>294</v>
      </c>
      <c r="E59" s="28" t="s">
        <v>295</v>
      </c>
      <c r="F59" s="28" t="s">
        <v>296</v>
      </c>
      <c r="G59" s="28" t="s">
        <v>297</v>
      </c>
      <c r="H59" s="28" t="s">
        <v>202</v>
      </c>
    </row>
    <row r="60" spans="2:8" ht="19.95" customHeight="1" x14ac:dyDescent="0.4">
      <c r="B60" s="27" t="s">
        <v>298</v>
      </c>
      <c r="C60" s="32" t="s">
        <v>299</v>
      </c>
      <c r="D60" s="38">
        <v>48</v>
      </c>
      <c r="E60" s="38">
        <v>24</v>
      </c>
      <c r="F60" s="48">
        <f>IF(C60="ON",IFERROR(C42/COUNTIF($C$60:$C$61,"ON"),0),0)</f>
        <v>834.90000000000009</v>
      </c>
      <c r="G60" s="56">
        <f>IF(C60="ON",IFERROR(F60*$C$9/($C$58*D60*E60),0),"OFF")</f>
        <v>59.443863462379703</v>
      </c>
      <c r="H60" s="30" t="s">
        <v>300</v>
      </c>
    </row>
    <row r="61" spans="2:8" ht="19.95" customHeight="1" x14ac:dyDescent="0.4">
      <c r="B61" s="27" t="s">
        <v>301</v>
      </c>
      <c r="C61" s="32" t="s">
        <v>299</v>
      </c>
      <c r="D61" s="38">
        <v>48</v>
      </c>
      <c r="E61" s="38">
        <v>24</v>
      </c>
      <c r="F61" s="48">
        <f>IF(C61="ON",IFERROR(C42/COUNTIF($C$60:$C$61,"ON"),0),0)</f>
        <v>834.90000000000009</v>
      </c>
      <c r="G61" s="56">
        <f>IF(C61="ON",IFERROR(F61*$C$9/($C$58*D61*E61),0),"OFF")</f>
        <v>59.443863462379703</v>
      </c>
      <c r="H61" s="30" t="s">
        <v>300</v>
      </c>
    </row>
    <row r="62" spans="2:8" ht="28.05" customHeight="1" x14ac:dyDescent="0.4">
      <c r="B62" s="318" t="s">
        <v>302</v>
      </c>
      <c r="C62" s="318"/>
      <c r="D62" s="318"/>
      <c r="E62" s="318"/>
      <c r="F62" s="318"/>
      <c r="G62" s="318"/>
      <c r="H62" s="318"/>
    </row>
    <row r="64" spans="2:8" ht="22.05" customHeight="1" x14ac:dyDescent="0.4">
      <c r="B64" s="314" t="s">
        <v>303</v>
      </c>
      <c r="C64" s="314"/>
      <c r="D64" s="314"/>
      <c r="E64" s="314"/>
      <c r="F64" s="314"/>
      <c r="G64" s="314"/>
      <c r="H64" s="314"/>
    </row>
    <row r="65" spans="2:8" ht="19.95" customHeight="1" x14ac:dyDescent="0.4">
      <c r="B65" s="27" t="s">
        <v>304</v>
      </c>
      <c r="C65" s="32" t="s">
        <v>305</v>
      </c>
      <c r="D65" s="318" t="s">
        <v>306</v>
      </c>
      <c r="E65" s="318"/>
      <c r="F65" s="318"/>
      <c r="G65" s="318"/>
      <c r="H65" s="318"/>
    </row>
    <row r="66" spans="2:8" ht="19.95" customHeight="1" x14ac:dyDescent="0.4">
      <c r="B66" s="27" t="s">
        <v>307</v>
      </c>
      <c r="C66" s="57">
        <f>IF($C$65="물탱크",70,IF($C$65="물탱크2",70,IF($C$65="YSACC1",65,IF($C$65="YSACC2",66,""))))</f>
        <v>70</v>
      </c>
      <c r="D66" s="29" t="s">
        <v>308</v>
      </c>
      <c r="E66" s="318"/>
      <c r="F66" s="318"/>
      <c r="G66" s="318"/>
      <c r="H66" s="318"/>
    </row>
    <row r="67" spans="2:8" ht="19.95" customHeight="1" x14ac:dyDescent="0.4">
      <c r="B67" s="27" t="s">
        <v>309</v>
      </c>
      <c r="C67" s="45">
        <f>IFERROR('생산일지 (4)'!Z13/C66,0)</f>
        <v>5</v>
      </c>
      <c r="D67" s="29" t="s">
        <v>310</v>
      </c>
      <c r="E67" s="318"/>
      <c r="F67" s="318"/>
      <c r="G67" s="318"/>
      <c r="H67" s="318"/>
    </row>
    <row r="68" spans="2:8" ht="19.95" customHeight="1" x14ac:dyDescent="0.4">
      <c r="B68" s="27" t="s">
        <v>311</v>
      </c>
      <c r="C68" s="58">
        <v>0.75</v>
      </c>
      <c r="D68" s="29" t="s">
        <v>312</v>
      </c>
      <c r="E68" s="318" t="s">
        <v>313</v>
      </c>
      <c r="F68" s="318"/>
      <c r="G68" s="318"/>
      <c r="H68" s="318"/>
    </row>
    <row r="70" spans="2:8" ht="22.05" customHeight="1" x14ac:dyDescent="0.4">
      <c r="B70" s="28" t="s">
        <v>125</v>
      </c>
      <c r="C70" s="28" t="s">
        <v>314</v>
      </c>
      <c r="D70" s="28" t="s">
        <v>315</v>
      </c>
      <c r="E70" s="28" t="s">
        <v>316</v>
      </c>
      <c r="F70" s="28" t="s">
        <v>317</v>
      </c>
      <c r="G70" s="319" t="s">
        <v>202</v>
      </c>
      <c r="H70" s="319"/>
    </row>
    <row r="71" spans="2:8" ht="19.95" customHeight="1" x14ac:dyDescent="0.4">
      <c r="B71" s="27" t="s">
        <v>318</v>
      </c>
      <c r="C71" s="50">
        <f>IF($C$65="물탱크",70,IF($C$65="물탱크2",70,IF($C$65="YSACC1",65,IF($C$65="YSACC2",66,""))))</f>
        <v>70</v>
      </c>
      <c r="D71" s="48">
        <f>C71*$C$67</f>
        <v>350</v>
      </c>
      <c r="E71" s="40">
        <f>'생산일지 (4)'!Z13</f>
        <v>350</v>
      </c>
      <c r="F71" s="48">
        <f t="shared" ref="F71:F84" si="1">E71-D71</f>
        <v>0</v>
      </c>
      <c r="G71" s="320"/>
      <c r="H71" s="320"/>
    </row>
    <row r="72" spans="2:8" ht="19.95" customHeight="1" x14ac:dyDescent="0.4">
      <c r="B72" s="27" t="s">
        <v>319</v>
      </c>
      <c r="C72" s="50">
        <f>IF($C$65="물탱크",30,IF($C$65="물탱크2",30,IF($C$65="YSACC1",35,IF($C$65="YSACC2",20,""))))</f>
        <v>30</v>
      </c>
      <c r="D72" s="48">
        <f>C72*$C$67*$C$68</f>
        <v>112.5</v>
      </c>
      <c r="E72" s="40">
        <f>'생산일지 (4)'!Z14</f>
        <v>112.5</v>
      </c>
      <c r="F72" s="48">
        <f t="shared" si="1"/>
        <v>0</v>
      </c>
      <c r="G72" s="320" t="s">
        <v>320</v>
      </c>
      <c r="H72" s="320"/>
    </row>
    <row r="73" spans="2:8" ht="19.95" customHeight="1" x14ac:dyDescent="0.4">
      <c r="B73" s="27" t="s">
        <v>321</v>
      </c>
      <c r="C73" s="50">
        <f>IF($C$65="물탱크",7.5,IF($C$65="물탱크2",7.5,IF($C$65="YSACC1",7,IF($C$65="YSACC2",15.12,""))))</f>
        <v>7.5</v>
      </c>
      <c r="D73" s="48">
        <f t="shared" ref="D73:D84" si="2">C73*$C$67</f>
        <v>37.5</v>
      </c>
      <c r="E73" s="40">
        <f>'생산일지 (4)'!Z15</f>
        <v>37.5</v>
      </c>
      <c r="F73" s="48">
        <f t="shared" si="1"/>
        <v>0</v>
      </c>
      <c r="G73" s="320" t="s">
        <v>322</v>
      </c>
      <c r="H73" s="320"/>
    </row>
    <row r="74" spans="2:8" ht="19.95" customHeight="1" x14ac:dyDescent="0.4">
      <c r="B74" s="27" t="s">
        <v>323</v>
      </c>
      <c r="C74" s="50">
        <f>IF($C$65="물탱크",1,IF($C$65="물탱크2",1,IF($C$65="YSACC1",1.2,IF($C$65="YSACC2",0.4,""))))</f>
        <v>1</v>
      </c>
      <c r="D74" s="48">
        <f t="shared" si="2"/>
        <v>5</v>
      </c>
      <c r="E74" s="40">
        <f>'생산일지 (4)'!Z17</f>
        <v>5</v>
      </c>
      <c r="F74" s="48">
        <f t="shared" si="1"/>
        <v>0</v>
      </c>
      <c r="G74" s="320"/>
      <c r="H74" s="320"/>
    </row>
    <row r="75" spans="2:8" ht="19.95" customHeight="1" x14ac:dyDescent="0.4">
      <c r="B75" s="27" t="s">
        <v>324</v>
      </c>
      <c r="C75" s="50">
        <f>IF($C$65="물탱크",1,IF($C$65="물탱크2",1,IF($C$65="YSACC1",0,IF($C$65="YSACC2",0,""))))</f>
        <v>1</v>
      </c>
      <c r="D75" s="48">
        <f t="shared" si="2"/>
        <v>5</v>
      </c>
      <c r="E75" s="40">
        <f>'생산일지 (4)'!Z18</f>
        <v>6.6</v>
      </c>
      <c r="F75" s="48">
        <f t="shared" si="1"/>
        <v>1.5999999999999996</v>
      </c>
      <c r="G75" s="320"/>
      <c r="H75" s="320"/>
    </row>
    <row r="76" spans="2:8" ht="19.95" customHeight="1" x14ac:dyDescent="0.4">
      <c r="B76" s="27" t="s">
        <v>325</v>
      </c>
      <c r="C76" s="50">
        <f>IF($C$65="물탱크",1.5,IF($C$65="물탱크2",1.7,IF($C$65="YSACC1",0.4,IF($C$65="YSACC2",1.3,""))))</f>
        <v>1.5</v>
      </c>
      <c r="D76" s="48">
        <f t="shared" si="2"/>
        <v>7.5</v>
      </c>
      <c r="E76" s="40">
        <f>'생산일지 (4)'!Z19</f>
        <v>8.5</v>
      </c>
      <c r="F76" s="48">
        <f t="shared" si="1"/>
        <v>1</v>
      </c>
      <c r="G76" s="320"/>
      <c r="H76" s="320"/>
    </row>
    <row r="77" spans="2:8" ht="19.95" customHeight="1" x14ac:dyDescent="0.4">
      <c r="B77" s="27" t="s">
        <v>326</v>
      </c>
      <c r="C77" s="50">
        <f>IF($C$65="물탱크",1.2,IF($C$65="물탱크2",1.2,IF($C$65="YSACC1",1.2,IF($C$65="YSACC2",1,""))))</f>
        <v>1.2</v>
      </c>
      <c r="D77" s="48">
        <f t="shared" si="2"/>
        <v>6</v>
      </c>
      <c r="E77" s="40">
        <f>'생산일지 (4)'!Z20</f>
        <v>6</v>
      </c>
      <c r="F77" s="48">
        <f t="shared" si="1"/>
        <v>0</v>
      </c>
      <c r="G77" s="320"/>
      <c r="H77" s="320"/>
    </row>
    <row r="78" spans="2:8" ht="19.95" customHeight="1" x14ac:dyDescent="0.4">
      <c r="B78" s="27" t="s">
        <v>327</v>
      </c>
      <c r="C78" s="50">
        <f>IF($C$65="물탱크",1.5,IF($C$65="물탱크2",1,IF($C$65="YSACC1",0,IF($C$65="YSACC2",0,""))))</f>
        <v>1.5</v>
      </c>
      <c r="D78" s="48">
        <f t="shared" si="2"/>
        <v>7.5</v>
      </c>
      <c r="E78" s="40">
        <f>'생산일지 (4)'!Z21</f>
        <v>7.5</v>
      </c>
      <c r="F78" s="48">
        <f t="shared" si="1"/>
        <v>0</v>
      </c>
      <c r="G78" s="320" t="s">
        <v>328</v>
      </c>
      <c r="H78" s="320"/>
    </row>
    <row r="79" spans="2:8" ht="19.95" customHeight="1" x14ac:dyDescent="0.4">
      <c r="B79" s="27" t="s">
        <v>329</v>
      </c>
      <c r="C79" s="50">
        <f>IF($C$65="물탱크",5,IF($C$65="물탱크2",5,IF($C$65="YSACC1",4,IF($C$65="YSACC2",5.75,""))))</f>
        <v>5</v>
      </c>
      <c r="D79" s="48">
        <f t="shared" si="2"/>
        <v>25</v>
      </c>
      <c r="E79" s="40">
        <f>'생산일지 (4)'!Z22</f>
        <v>25</v>
      </c>
      <c r="F79" s="48">
        <f t="shared" si="1"/>
        <v>0</v>
      </c>
      <c r="G79" s="320"/>
      <c r="H79" s="320"/>
    </row>
    <row r="80" spans="2:8" ht="19.95" customHeight="1" x14ac:dyDescent="0.4">
      <c r="B80" s="27" t="s">
        <v>330</v>
      </c>
      <c r="C80" s="50">
        <f>IF($C$65="물탱크",5,IF($C$65="물탱크2",5,IF($C$65="YSACC1",4,IF($C$65="YSACC2",6.5,""))))</f>
        <v>5</v>
      </c>
      <c r="D80" s="48">
        <f t="shared" si="2"/>
        <v>25</v>
      </c>
      <c r="E80" s="40">
        <f>'생산일지 (4)'!Z23</f>
        <v>20</v>
      </c>
      <c r="F80" s="48">
        <f t="shared" si="1"/>
        <v>-5</v>
      </c>
      <c r="G80" s="320"/>
      <c r="H80" s="320"/>
    </row>
    <row r="81" spans="2:8" ht="19.95" customHeight="1" x14ac:dyDescent="0.4">
      <c r="B81" s="27" t="s">
        <v>331</v>
      </c>
      <c r="C81" s="50">
        <f>IF($C$65="물탱크",170,IF($C$65="물탱크2",170,IF($C$65="YSACC1",185,IF($C$65="YSACC2",185,""))))</f>
        <v>170</v>
      </c>
      <c r="D81" s="48">
        <f t="shared" si="2"/>
        <v>850</v>
      </c>
      <c r="E81" s="40">
        <f>'생산일지 (4)'!Z24</f>
        <v>825</v>
      </c>
      <c r="F81" s="48">
        <f t="shared" si="1"/>
        <v>-25</v>
      </c>
      <c r="G81" s="320"/>
      <c r="H81" s="320"/>
    </row>
    <row r="82" spans="2:8" ht="19.95" customHeight="1" x14ac:dyDescent="0.4">
      <c r="B82" s="27" t="s">
        <v>332</v>
      </c>
      <c r="C82" s="50">
        <f>IF($C$65="물탱크",1.5,IF($C$65="물탱크2",2.2,IF($C$65="YSACC1",1.2,IF($C$65="YSACC2",3.8,""))))</f>
        <v>1.5</v>
      </c>
      <c r="D82" s="48">
        <f t="shared" si="2"/>
        <v>7.5</v>
      </c>
      <c r="E82" s="40">
        <f>'생산일지 (4)'!Z26</f>
        <v>14</v>
      </c>
      <c r="F82" s="48">
        <f t="shared" si="1"/>
        <v>6.5</v>
      </c>
      <c r="G82" s="320" t="s">
        <v>333</v>
      </c>
      <c r="H82" s="320"/>
    </row>
    <row r="83" spans="2:8" ht="19.95" customHeight="1" x14ac:dyDescent="0.4">
      <c r="B83" s="27" t="s">
        <v>334</v>
      </c>
      <c r="C83" s="50">
        <f>IF($C$65="물탱크",4,IF($C$65="물탱크2",3.5,IF($C$65="YSACC1",1.1,IF($C$65="YSACC2",1.1,""))))</f>
        <v>4</v>
      </c>
      <c r="D83" s="48">
        <f t="shared" si="2"/>
        <v>20</v>
      </c>
      <c r="E83" s="40">
        <f>'생산일지 (4)'!Z27</f>
        <v>20</v>
      </c>
      <c r="F83" s="48">
        <f t="shared" si="1"/>
        <v>0</v>
      </c>
      <c r="G83" s="320"/>
      <c r="H83" s="320"/>
    </row>
    <row r="84" spans="2:8" ht="19.95" customHeight="1" x14ac:dyDescent="0.4">
      <c r="B84" s="27" t="s">
        <v>335</v>
      </c>
      <c r="C84" s="50">
        <f>IF($C$65="물탱크",148,IF($C$65="물탱크2",126,IF($C$65="YSACC1",132,IF($C$65="YSACC2",132,""))))</f>
        <v>148</v>
      </c>
      <c r="D84" s="48">
        <f t="shared" si="2"/>
        <v>740</v>
      </c>
      <c r="E84" s="40">
        <f>'생산일지 (4)'!AE28</f>
        <v>717.92238805970146</v>
      </c>
      <c r="F84" s="48">
        <f t="shared" si="1"/>
        <v>-22.077611940298539</v>
      </c>
      <c r="G84" s="320"/>
      <c r="H84" s="320"/>
    </row>
    <row r="85" spans="2:8" ht="19.95" customHeight="1" x14ac:dyDescent="0.4">
      <c r="B85" s="27" t="s">
        <v>336</v>
      </c>
      <c r="C85" s="59" t="s">
        <v>337</v>
      </c>
      <c r="E85" s="40">
        <f>'생산일지 (4)'!Z16</f>
        <v>20</v>
      </c>
      <c r="F85" s="59"/>
      <c r="G85" s="320" t="s">
        <v>338</v>
      </c>
      <c r="H85" s="320"/>
    </row>
    <row r="86" spans="2:8" ht="19.95" customHeight="1" x14ac:dyDescent="0.4">
      <c r="B86" s="27" t="s">
        <v>339</v>
      </c>
      <c r="C86" s="48">
        <f>D73</f>
        <v>37.5</v>
      </c>
      <c r="E86" s="40">
        <f>'생산일지 (4)'!Z15+'생산일지 (4)'!Z16</f>
        <v>57.5</v>
      </c>
      <c r="F86" s="48">
        <f>E86-C86</f>
        <v>20</v>
      </c>
      <c r="G86" s="320" t="s">
        <v>340</v>
      </c>
      <c r="H86" s="320"/>
    </row>
    <row r="87" spans="2:8" ht="28.05" customHeight="1" x14ac:dyDescent="0.4">
      <c r="B87" s="318" t="s">
        <v>341</v>
      </c>
      <c r="C87" s="318"/>
      <c r="D87" s="318"/>
      <c r="E87" s="318"/>
      <c r="F87" s="318"/>
      <c r="G87" s="318"/>
      <c r="H87" s="318"/>
    </row>
    <row r="88" spans="2:8" ht="31.95" customHeight="1" x14ac:dyDescent="0.4">
      <c r="B88" s="318" t="s">
        <v>342</v>
      </c>
      <c r="C88" s="318"/>
      <c r="D88" s="318"/>
      <c r="E88" s="318"/>
      <c r="F88" s="318"/>
      <c r="G88" s="318"/>
      <c r="H88" s="318"/>
    </row>
  </sheetData>
  <mergeCells count="81">
    <mergeCell ref="B88:H88"/>
    <mergeCell ref="G83:H83"/>
    <mergeCell ref="G84:H84"/>
    <mergeCell ref="G85:H85"/>
    <mergeCell ref="G86:H86"/>
    <mergeCell ref="B87:H8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E67:H67"/>
    <mergeCell ref="E68:H68"/>
    <mergeCell ref="G70:H70"/>
    <mergeCell ref="G71:H71"/>
    <mergeCell ref="G72:H72"/>
    <mergeCell ref="E58:H58"/>
    <mergeCell ref="B62:H62"/>
    <mergeCell ref="B64:H64"/>
    <mergeCell ref="D65:H65"/>
    <mergeCell ref="E66:H66"/>
    <mergeCell ref="E52:H52"/>
    <mergeCell ref="E53:H53"/>
    <mergeCell ref="B55:H55"/>
    <mergeCell ref="E56:H56"/>
    <mergeCell ref="E57:H57"/>
    <mergeCell ref="E47:H47"/>
    <mergeCell ref="E48:H48"/>
    <mergeCell ref="E49:H49"/>
    <mergeCell ref="E50:H50"/>
    <mergeCell ref="E51:H51"/>
    <mergeCell ref="E42:H42"/>
    <mergeCell ref="E43:H43"/>
    <mergeCell ref="E44:H44"/>
    <mergeCell ref="E45:H45"/>
    <mergeCell ref="E46:H46"/>
    <mergeCell ref="G37:H37"/>
    <mergeCell ref="E38:H38"/>
    <mergeCell ref="B39:H39"/>
    <mergeCell ref="E40:H40"/>
    <mergeCell ref="E41:H41"/>
    <mergeCell ref="G33:H33"/>
    <mergeCell ref="G34:H34"/>
    <mergeCell ref="B35:C35"/>
    <mergeCell ref="G35:H35"/>
    <mergeCell ref="E36:H36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E17:H17"/>
    <mergeCell ref="B19:H19"/>
    <mergeCell ref="G20:H20"/>
    <mergeCell ref="G21:H21"/>
    <mergeCell ref="G22:H22"/>
    <mergeCell ref="E11:H11"/>
    <mergeCell ref="B13:H13"/>
    <mergeCell ref="E14:H14"/>
    <mergeCell ref="E15:H15"/>
    <mergeCell ref="E16:H16"/>
    <mergeCell ref="C6:D6"/>
    <mergeCell ref="E6:F6"/>
    <mergeCell ref="B8:H8"/>
    <mergeCell ref="E9:H9"/>
    <mergeCell ref="E10:H10"/>
    <mergeCell ref="B1:H1"/>
    <mergeCell ref="B2:H2"/>
    <mergeCell ref="B4:H4"/>
    <mergeCell ref="C5:D5"/>
    <mergeCell ref="E5:F5"/>
  </mergeCells>
  <phoneticPr fontId="3" type="noConversion"/>
  <dataValidations count="7">
    <dataValidation type="decimal" operator="greaterThan" allowBlank="1" showErrorMessage="1" errorTitle="입력 확인" error="0보다 큰 숫자를 입력하세요." sqref="C14:C17" xr:uid="{00000000-0002-0000-0200-000000000000}">
      <formula1>0</formula1>
    </dataValidation>
    <dataValidation type="decimal" errorStyle="warning" operator="greaterThan" allowBlank="1" showErrorMessage="1" errorTitle="입력 확인" error="0보다 큰 숫자를 입력하세요." sqref="D21:E34 E37 C68" xr:uid="{00000000-0002-0000-0200-000001000000}">
      <formula1>0</formula1>
    </dataValidation>
    <dataValidation type="list" errorStyle="warning" allowBlank="1" showErrorMessage="1" errorTitle="TEX" error="목록에 없는 값입니다. 그대로 입력할까요?" sqref="C56" xr:uid="{00000000-0002-0000-0200-000002000000}">
      <formula1>"2400,4400,4800,9600"</formula1>
    </dataValidation>
    <dataValidation type="list" errorStyle="warning" allowBlank="1" showErrorMessage="1" errorTitle="컷팅 길이" error="목록에 없는 값입니다. 그대로 입력할까요?" sqref="C57" xr:uid="{00000000-0002-0000-0200-000003000000}">
      <formula1>"0.5,1,2"</formula1>
    </dataValidation>
    <dataValidation type="list" allowBlank="1" showErrorMessage="1" errorTitle="ON/OFF" error="ON 또는 OFF 중에서 선택하세요." sqref="C60:C61" xr:uid="{00000000-0002-0000-0200-000004000000}">
      <formula1>"ON,OFF"</formula1>
    </dataValidation>
    <dataValidation type="whole" errorStyle="warning" operator="greaterThanOrEqual" allowBlank="1" showErrorMessage="1" errorTitle="입력 확인" error="1 이상의 정수를 입력하세요." sqref="D60:E61" xr:uid="{00000000-0002-0000-0200-000005000000}">
      <formula1>1</formula1>
    </dataValidation>
    <dataValidation type="list" allowBlank="1" showErrorMessage="1" errorTitle="배합 선택" error="목록에서 선택하세요." sqref="C65" xr:uid="{00000000-0002-0000-0200-000006000000}">
      <formula1>"물탱크,물탱크2,YSACC1,YSACC2"</formula1>
    </dataValidation>
  </dataValidations>
  <printOptions horizontalCentered="1"/>
  <pageMargins left="0.35" right="0.35" top="0.4" bottom="0.4" header="0.2" footer="0.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생산일지 (4)</vt:lpstr>
      <vt:lpstr>일일 생산일지(신규)</vt:lpstr>
      <vt:lpstr>설정값 계산</vt:lpstr>
      <vt:lpstr>'생산일지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ho choi</dc:creator>
  <cp:lastModifiedBy>jung ho choi</cp:lastModifiedBy>
  <cp:lastPrinted>2026-10-01T00:17:34Z</cp:lastPrinted>
  <dcterms:created xsi:type="dcterms:W3CDTF">2026-09-28T06:52:38Z</dcterms:created>
  <dcterms:modified xsi:type="dcterms:W3CDTF">2026-10-01T04:35:58Z</dcterms:modified>
</cp:coreProperties>
</file>