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ba6cea9e43bbcb5/바탕 화면/업체/하영/"/>
    </mc:Choice>
  </mc:AlternateContent>
  <xr:revisionPtr revIDLastSave="36" documentId="13_ncr:1_{A1DDA585-02CF-4EF1-87C7-0005C06E7331}" xr6:coauthVersionLast="47" xr6:coauthVersionMax="47" xr10:uidLastSave="{44EB3C13-71F7-437B-AD9D-94C5C10F6C91}"/>
  <bookViews>
    <workbookView xWindow="-108" yWindow="-108" windowWidth="23256" windowHeight="12456" tabRatio="694" firstSheet="1" activeTab="6" xr2:uid="{00000000-000D-0000-FFFF-FFFF00000000}"/>
  </bookViews>
  <sheets>
    <sheet name="생산일지 (4)" sheetId="28" r:id="rId1"/>
    <sheet name="생산일지 0.5" sheetId="25" r:id="rId2"/>
    <sheet name="배합지시서(40%) (2)" sheetId="24" r:id="rId3"/>
    <sheet name="배합지시서 (30%)" sheetId="20" r:id="rId4"/>
    <sheet name="물탱크 배합" sheetId="12" r:id="rId5"/>
    <sheet name="SMC기계 관리가이드" sheetId="7" r:id="rId6"/>
    <sheet name="SMC 공정별 핵심 가이드" sheetId="4" r:id="rId7"/>
    <sheet name="SMC시트관리가이드" sheetId="8" r:id="rId8"/>
    <sheet name="SMC_Calculation (TEST)" sheetId="14" r:id="rId9"/>
  </sheets>
  <externalReferences>
    <externalReference r:id="rId10"/>
  </externalReferences>
  <definedNames>
    <definedName name="CV" localSheetId="0">#REF!</definedName>
    <definedName name="CV" localSheetId="1">#REF!</definedName>
    <definedName name="CV">#REF!</definedName>
    <definedName name="d" localSheetId="0">#REF!</definedName>
    <definedName name="d" localSheetId="1">#REF!</definedName>
    <definedName name="d">#REF!</definedName>
    <definedName name="_xlnm.Print_Area" localSheetId="8">'SMC_Calculation (TEST)'!$B$2:$K$58</definedName>
    <definedName name="_xlnm.Print_Area" localSheetId="3">'배합지시서 (30%)'!$A$1:$S$50</definedName>
    <definedName name="_xlnm.Print_Area" localSheetId="2">'배합지시서(40%) (2)'!$A$1:$Z$51</definedName>
    <definedName name="_xlnm.Print_Area" localSheetId="0">'생산일지 (4)'!$A$1:$DY$62</definedName>
    <definedName name="_xlnm.Print_Area" localSheetId="1">'생산일지 0.5'!$A$1:$DY$62</definedName>
    <definedName name="sad" localSheetId="0">#REF!</definedName>
    <definedName name="sad" localSheetId="1">#REF!</definedName>
    <definedName name="sad">#REF!</definedName>
    <definedName name="SADA" localSheetId="0">#REF!</definedName>
    <definedName name="SADA" localSheetId="1">#REF!</definedName>
    <definedName name="SADA">#REF!</definedName>
    <definedName name="sdfc" localSheetId="0">#REF!</definedName>
    <definedName name="sdfc" localSheetId="1">#REF!</definedName>
    <definedName name="sdfc">#REF!</definedName>
    <definedName name="ㄱ쇼" localSheetId="0">#REF!</definedName>
    <definedName name="ㄱ쇼" localSheetId="1">#REF!</definedName>
    <definedName name="ㄱ쇼">#REF!</definedName>
    <definedName name="ㄴㄴㄴㄴㄴ" localSheetId="0">#REF!</definedName>
    <definedName name="ㄴㄴㄴㄴㄴ" localSheetId="1">#REF!</definedName>
    <definedName name="ㄴㄴㄴㄴㄴ">#REF!</definedName>
    <definedName name="품명" localSheetId="0">#REF!</definedName>
    <definedName name="품명" localSheetId="1">#REF!</definedName>
    <definedName name="품명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9" i="28" l="1"/>
  <c r="Q60" i="28" s="1"/>
  <c r="CH52" i="28"/>
  <c r="CF28" i="28"/>
  <c r="CT28" i="28" s="1"/>
  <c r="AE28" i="28"/>
  <c r="AL28" i="28" s="1"/>
  <c r="EB27" i="28"/>
  <c r="AL27" i="28"/>
  <c r="CF26" i="28"/>
  <c r="CT26" i="28" s="1"/>
  <c r="AL26" i="28"/>
  <c r="EA25" i="28"/>
  <c r="AL25" i="28"/>
  <c r="EC24" i="28"/>
  <c r="CF24" i="28"/>
  <c r="EA24" i="28" s="1"/>
  <c r="AL24" i="28"/>
  <c r="AL23" i="28"/>
  <c r="EB22" i="28"/>
  <c r="EB23" i="28" s="1"/>
  <c r="AL22" i="28"/>
  <c r="AL21" i="28"/>
  <c r="EC20" i="28"/>
  <c r="EB20" i="28"/>
  <c r="AL20" i="28"/>
  <c r="AL19" i="28"/>
  <c r="AL18" i="28"/>
  <c r="AL17" i="28"/>
  <c r="AL29" i="28" s="1"/>
  <c r="EB16" i="28"/>
  <c r="AL16" i="28"/>
  <c r="AL15" i="28"/>
  <c r="AL14" i="28"/>
  <c r="AL13" i="28"/>
  <c r="CT24" i="28" l="1"/>
  <c r="AY28" i="28"/>
  <c r="AY29" i="28" s="1"/>
  <c r="DD52" i="28" s="1"/>
  <c r="Z29" i="28"/>
  <c r="DJ7" i="28"/>
  <c r="EA26" i="28"/>
  <c r="CT26" i="25" l="1"/>
  <c r="CT28" i="25"/>
  <c r="CT24" i="25"/>
  <c r="CF24" i="25"/>
  <c r="EB14" i="25" l="1"/>
  <c r="AL24" i="12"/>
  <c r="AM14" i="12" s="1"/>
  <c r="AQ23" i="12"/>
  <c r="AL23" i="12"/>
  <c r="AM21" i="12" s="1"/>
  <c r="AP22" i="12"/>
  <c r="AO22" i="12"/>
  <c r="AN22" i="12"/>
  <c r="AQ22" i="12" s="1"/>
  <c r="AP21" i="12"/>
  <c r="AP20" i="12"/>
  <c r="AP19" i="12"/>
  <c r="AP18" i="12"/>
  <c r="AP17" i="12"/>
  <c r="AO17" i="12"/>
  <c r="AN17" i="12"/>
  <c r="AP16" i="12"/>
  <c r="AP15" i="12"/>
  <c r="AP14" i="12"/>
  <c r="AP12" i="12"/>
  <c r="AP11" i="12"/>
  <c r="AP10" i="12"/>
  <c r="AP9" i="12"/>
  <c r="AP8" i="12"/>
  <c r="AO7" i="12"/>
  <c r="AN7" i="12"/>
  <c r="AP6" i="12"/>
  <c r="AP5" i="12"/>
  <c r="AN21" i="12" l="1"/>
  <c r="AN12" i="12"/>
  <c r="AM12" i="12"/>
  <c r="AM18" i="12"/>
  <c r="AN18" i="12"/>
  <c r="AN14" i="12"/>
  <c r="AM9" i="12"/>
  <c r="AN9" i="12"/>
  <c r="AN5" i="12"/>
  <c r="AM6" i="12"/>
  <c r="AN6" i="12"/>
  <c r="AN10" i="12"/>
  <c r="AM8" i="12"/>
  <c r="AM11" i="12"/>
  <c r="AN15" i="12"/>
  <c r="AN8" i="12"/>
  <c r="AM5" i="12"/>
  <c r="AN20" i="12"/>
  <c r="AN11" i="12"/>
  <c r="AM15" i="12"/>
  <c r="AM16" i="12"/>
  <c r="AN19" i="12"/>
  <c r="AM10" i="12"/>
  <c r="AN16" i="12"/>
  <c r="AM20" i="12"/>
  <c r="AM19" i="12"/>
  <c r="Q60" i="25"/>
  <c r="CH52" i="25"/>
  <c r="DJ7" i="25" s="1"/>
  <c r="CF28" i="25"/>
  <c r="AE28" i="25"/>
  <c r="Z29" i="25" s="1"/>
  <c r="AL27" i="25"/>
  <c r="CF26" i="25"/>
  <c r="AL26" i="25"/>
  <c r="AL25" i="25"/>
  <c r="AL24" i="25"/>
  <c r="AL21" i="25"/>
  <c r="AL20" i="25"/>
  <c r="AL18" i="25"/>
  <c r="AL15" i="25"/>
  <c r="AL14" i="25"/>
  <c r="AL13" i="25"/>
  <c r="W30" i="24"/>
  <c r="F30" i="24"/>
  <c r="Y8" i="24" s="1"/>
  <c r="W28" i="24"/>
  <c r="H28" i="24"/>
  <c r="W27" i="24"/>
  <c r="H27" i="24"/>
  <c r="F45" i="24" s="1"/>
  <c r="K45" i="24" s="1"/>
  <c r="H26" i="24"/>
  <c r="H25" i="24"/>
  <c r="H24" i="24"/>
  <c r="H23" i="24"/>
  <c r="H22" i="24"/>
  <c r="H21" i="24"/>
  <c r="H20" i="24"/>
  <c r="H18" i="24"/>
  <c r="H17" i="24"/>
  <c r="H16" i="24"/>
  <c r="H15" i="24"/>
  <c r="F44" i="24" s="1"/>
  <c r="K44" i="24" s="1"/>
  <c r="AD14" i="24"/>
  <c r="AE15" i="24" s="1"/>
  <c r="H14" i="24"/>
  <c r="AE11" i="24"/>
  <c r="AN23" i="12" l="1"/>
  <c r="AQ6" i="12" s="1"/>
  <c r="Q61" i="25"/>
  <c r="AL28" i="25"/>
  <c r="AL29" i="25" s="1"/>
  <c r="AY28" i="25"/>
  <c r="AY29" i="25" s="1"/>
  <c r="DD52" i="25" s="1"/>
  <c r="F46" i="24"/>
  <c r="K46" i="24" s="1"/>
  <c r="AD15" i="24"/>
  <c r="K23" i="12"/>
  <c r="Q46" i="12"/>
  <c r="J5" i="12"/>
  <c r="AO5" i="12" s="1"/>
  <c r="J6" i="12"/>
  <c r="AO6" i="12" s="1"/>
  <c r="AQ5" i="12" l="1"/>
  <c r="AQ18" i="12"/>
  <c r="AQ14" i="12"/>
  <c r="AQ15" i="12"/>
  <c r="AQ20" i="12"/>
  <c r="AQ16" i="12"/>
  <c r="AQ19" i="12"/>
  <c r="AQ21" i="12"/>
  <c r="AQ10" i="12"/>
  <c r="AQ11" i="12"/>
  <c r="AQ8" i="12"/>
  <c r="AQ12" i="12"/>
  <c r="AQ9" i="12"/>
  <c r="H15" i="20" l="1"/>
  <c r="J9" i="12"/>
  <c r="AO9" i="12" s="1"/>
  <c r="E6" i="12"/>
  <c r="E5" i="12"/>
  <c r="Y6" i="14"/>
  <c r="E13" i="12" l="1"/>
  <c r="E14" i="12"/>
  <c r="AB58" i="14" l="1"/>
  <c r="M57" i="14"/>
  <c r="O57" i="14" s="1"/>
  <c r="W55" i="14"/>
  <c r="AB51" i="14"/>
  <c r="AD51" i="14" s="1"/>
  <c r="I44" i="14"/>
  <c r="F44" i="14"/>
  <c r="G43" i="14"/>
  <c r="F50" i="14" s="1"/>
  <c r="I41" i="14"/>
  <c r="I40" i="14"/>
  <c r="F40" i="14"/>
  <c r="F41" i="14" s="1"/>
  <c r="G39" i="14"/>
  <c r="F49" i="14" s="1"/>
  <c r="I36" i="14"/>
  <c r="I35" i="14"/>
  <c r="F35" i="14"/>
  <c r="G34" i="14"/>
  <c r="I31" i="14"/>
  <c r="I30" i="14"/>
  <c r="F30" i="14"/>
  <c r="F31" i="14" s="1"/>
  <c r="G29" i="14"/>
  <c r="R26" i="14"/>
  <c r="R25" i="14" s="1"/>
  <c r="F25" i="14"/>
  <c r="F26" i="14" s="1"/>
  <c r="H20" i="14"/>
  <c r="F20" i="14"/>
  <c r="G18" i="14"/>
  <c r="P17" i="14"/>
  <c r="P20" i="14" s="1"/>
  <c r="G17" i="14"/>
  <c r="R16" i="14"/>
  <c r="R15" i="14"/>
  <c r="R14" i="14"/>
  <c r="F14" i="14"/>
  <c r="F15" i="14" s="1"/>
  <c r="R13" i="14"/>
  <c r="R12" i="14"/>
  <c r="R11" i="14"/>
  <c r="R10" i="14"/>
  <c r="R9" i="14"/>
  <c r="R8" i="14"/>
  <c r="R7" i="14"/>
  <c r="R6" i="14"/>
  <c r="R5" i="14"/>
  <c r="U2" i="14"/>
  <c r="U12" i="14" s="1"/>
  <c r="J49" i="14" l="1"/>
  <c r="U5" i="14"/>
  <c r="F36" i="14"/>
  <c r="U20" i="14"/>
  <c r="S25" i="14"/>
  <c r="S26" i="14" s="1"/>
  <c r="P18" i="14" s="1"/>
  <c r="P21" i="14" s="1"/>
  <c r="U6" i="14"/>
  <c r="U9" i="14"/>
  <c r="U15" i="14"/>
  <c r="U17" i="14"/>
  <c r="U13" i="14"/>
  <c r="U7" i="14"/>
  <c r="U10" i="14"/>
  <c r="U16" i="14"/>
  <c r="R17" i="14"/>
  <c r="R20" i="14"/>
  <c r="U11" i="14"/>
  <c r="U14" i="14"/>
  <c r="F22" i="14"/>
  <c r="F47" i="14" s="1"/>
  <c r="F27" i="14"/>
  <c r="U8" i="14"/>
  <c r="S20" i="14" l="1"/>
  <c r="S5" i="14"/>
  <c r="S14" i="14"/>
  <c r="S12" i="14"/>
  <c r="S11" i="14"/>
  <c r="S15" i="14"/>
  <c r="S13" i="14"/>
  <c r="S8" i="14"/>
  <c r="S16" i="14"/>
  <c r="S7" i="14"/>
  <c r="S6" i="14"/>
  <c r="S9" i="14"/>
  <c r="S17" i="14"/>
  <c r="F48" i="14"/>
  <c r="F58" i="14" s="1"/>
  <c r="S10" i="14"/>
  <c r="F57" i="14"/>
  <c r="J47" i="14"/>
  <c r="F51" i="14"/>
  <c r="U18" i="14"/>
  <c r="U21" i="14" s="1"/>
  <c r="Q18" i="14"/>
  <c r="R18" i="14"/>
  <c r="Q12" i="14"/>
  <c r="Q8" i="14"/>
  <c r="Q5" i="14"/>
  <c r="Q21" i="14"/>
  <c r="Q14" i="14"/>
  <c r="Q11" i="14"/>
  <c r="Q16" i="14"/>
  <c r="Q10" i="14"/>
  <c r="Q7" i="14"/>
  <c r="Q15" i="14"/>
  <c r="Q9" i="14"/>
  <c r="Q6" i="14"/>
  <c r="Q17" i="14"/>
  <c r="Q13" i="14"/>
  <c r="F23" i="14"/>
  <c r="Q20" i="14"/>
  <c r="R21" i="14" l="1"/>
  <c r="T18" i="14" s="1"/>
  <c r="AB57" i="14"/>
  <c r="T15" i="14" l="1"/>
  <c r="T13" i="14"/>
  <c r="T9" i="14"/>
  <c r="T16" i="14"/>
  <c r="T10" i="14"/>
  <c r="T7" i="14"/>
  <c r="T6" i="14"/>
  <c r="T8" i="14"/>
  <c r="T12" i="14"/>
  <c r="T5" i="14"/>
  <c r="T11" i="14"/>
  <c r="T14" i="14"/>
  <c r="T17" i="14"/>
  <c r="O20" i="14" l="1"/>
  <c r="F8" i="14" s="1"/>
  <c r="T21" i="14"/>
  <c r="O21" i="14"/>
  <c r="W57" i="14" l="1"/>
  <c r="J55" i="14"/>
  <c r="F55" i="14"/>
  <c r="F54" i="14"/>
  <c r="J54" i="14"/>
  <c r="R9" i="12" l="1"/>
  <c r="F23" i="12"/>
  <c r="J21" i="12" s="1"/>
  <c r="G5" i="12" l="1"/>
  <c r="G19" i="12"/>
  <c r="G8" i="12"/>
  <c r="G6" i="12"/>
  <c r="P37" i="12"/>
  <c r="P36" i="12"/>
  <c r="C36" i="12"/>
  <c r="S33" i="12" s="1"/>
  <c r="P35" i="12"/>
  <c r="P34" i="12"/>
  <c r="P33" i="12"/>
  <c r="I33" i="12"/>
  <c r="J33" i="12" s="1"/>
  <c r="T33" i="12" s="1"/>
  <c r="AD24" i="12"/>
  <c r="V24" i="12"/>
  <c r="N24" i="12"/>
  <c r="F24" i="12"/>
  <c r="G14" i="12" s="1"/>
  <c r="AI23" i="12"/>
  <c r="AD23" i="12"/>
  <c r="AE21" i="12" s="1"/>
  <c r="AA23" i="12"/>
  <c r="V23" i="12"/>
  <c r="X11" i="12" s="1"/>
  <c r="Y11" i="12" s="1"/>
  <c r="S23" i="12"/>
  <c r="N23" i="12"/>
  <c r="O21" i="12" s="1"/>
  <c r="G13" i="12"/>
  <c r="AH22" i="12"/>
  <c r="AG22" i="12"/>
  <c r="AF22" i="12"/>
  <c r="AI22" i="12" s="1"/>
  <c r="Z22" i="12"/>
  <c r="Y22" i="12"/>
  <c r="X22" i="12"/>
  <c r="AA22" i="12" s="1"/>
  <c r="R22" i="12"/>
  <c r="Q22" i="12"/>
  <c r="P22" i="12"/>
  <c r="S22" i="12" s="1"/>
  <c r="J22" i="12"/>
  <c r="I22" i="12"/>
  <c r="H22" i="12"/>
  <c r="K22" i="12" s="1"/>
  <c r="AH21" i="12"/>
  <c r="AF21" i="12"/>
  <c r="Z21" i="12"/>
  <c r="U21" i="12"/>
  <c r="R21" i="12"/>
  <c r="M21" i="12"/>
  <c r="AO21" i="12"/>
  <c r="G21" i="12"/>
  <c r="E21" i="12"/>
  <c r="AH20" i="12"/>
  <c r="AF20" i="12"/>
  <c r="Z20" i="12"/>
  <c r="U20" i="12"/>
  <c r="R20" i="12"/>
  <c r="M20" i="12"/>
  <c r="J20" i="12"/>
  <c r="AO20" i="12" s="1"/>
  <c r="G20" i="12"/>
  <c r="E20" i="12"/>
  <c r="AH19" i="12"/>
  <c r="AF19" i="12"/>
  <c r="Z19" i="12"/>
  <c r="U19" i="12"/>
  <c r="R19" i="12"/>
  <c r="M19" i="12"/>
  <c r="J19" i="12"/>
  <c r="AO19" i="12" s="1"/>
  <c r="E19" i="12"/>
  <c r="AH18" i="12"/>
  <c r="Z18" i="12"/>
  <c r="U18" i="12"/>
  <c r="R18" i="12"/>
  <c r="M18" i="12"/>
  <c r="J18" i="12"/>
  <c r="AO18" i="12" s="1"/>
  <c r="G18" i="12"/>
  <c r="E18" i="12"/>
  <c r="AH17" i="12"/>
  <c r="AG17" i="12"/>
  <c r="AF17" i="12"/>
  <c r="Z17" i="12"/>
  <c r="Y17" i="12"/>
  <c r="X17" i="12"/>
  <c r="R17" i="12"/>
  <c r="P17" i="12"/>
  <c r="AH16" i="12"/>
  <c r="AF16" i="12"/>
  <c r="Z16" i="12"/>
  <c r="W16" i="12"/>
  <c r="U16" i="12"/>
  <c r="R16" i="12"/>
  <c r="M16" i="12"/>
  <c r="J16" i="12"/>
  <c r="AO16" i="12" s="1"/>
  <c r="G16" i="12"/>
  <c r="E16" i="12"/>
  <c r="AH15" i="12"/>
  <c r="Z15" i="12"/>
  <c r="U15" i="12"/>
  <c r="R15" i="12"/>
  <c r="M15" i="12"/>
  <c r="J15" i="12"/>
  <c r="AO15" i="12" s="1"/>
  <c r="G15" i="12"/>
  <c r="E15" i="12"/>
  <c r="AH14" i="12"/>
  <c r="AG14" i="12"/>
  <c r="AF14" i="12"/>
  <c r="AI14" i="12" s="1"/>
  <c r="Z14" i="12"/>
  <c r="Y14" i="12"/>
  <c r="X14" i="12"/>
  <c r="AA14" i="12" s="1"/>
  <c r="R14" i="12"/>
  <c r="J14" i="12"/>
  <c r="AO14" i="12" s="1"/>
  <c r="H14" i="12"/>
  <c r="AH13" i="12"/>
  <c r="AC13" i="12"/>
  <c r="Z13" i="12"/>
  <c r="U13" i="12"/>
  <c r="R13" i="12"/>
  <c r="Q13" i="12"/>
  <c r="P13" i="12"/>
  <c r="S13" i="12" s="1"/>
  <c r="J13" i="12"/>
  <c r="H13" i="12"/>
  <c r="AH12" i="12"/>
  <c r="Z12" i="12"/>
  <c r="W12" i="12"/>
  <c r="U12" i="12"/>
  <c r="R12" i="12"/>
  <c r="M12" i="12"/>
  <c r="J12" i="12"/>
  <c r="AO12" i="12" s="1"/>
  <c r="H12" i="12"/>
  <c r="I12" i="12" s="1"/>
  <c r="G12" i="12"/>
  <c r="E12" i="12"/>
  <c r="AH11" i="12"/>
  <c r="AF11" i="12"/>
  <c r="AG11" i="12" s="1"/>
  <c r="AE11" i="12"/>
  <c r="Z11" i="12"/>
  <c r="U11" i="12"/>
  <c r="R11" i="12"/>
  <c r="M11" i="12"/>
  <c r="J11" i="12"/>
  <c r="AO11" i="12" s="1"/>
  <c r="E11" i="12"/>
  <c r="AH10" i="12"/>
  <c r="Z10" i="12"/>
  <c r="U10" i="12"/>
  <c r="R10" i="12"/>
  <c r="M10" i="12"/>
  <c r="J10" i="12"/>
  <c r="AO10" i="12" s="1"/>
  <c r="E10" i="12"/>
  <c r="AH9" i="12"/>
  <c r="AG9" i="12"/>
  <c r="AF9" i="12"/>
  <c r="AI9" i="12" s="1"/>
  <c r="Z9" i="12"/>
  <c r="Y9" i="12"/>
  <c r="X9" i="12"/>
  <c r="AA9" i="12" s="1"/>
  <c r="U9" i="12"/>
  <c r="H9" i="12"/>
  <c r="E9" i="12"/>
  <c r="AH8" i="12"/>
  <c r="Z8" i="12"/>
  <c r="U8" i="12"/>
  <c r="R8" i="12"/>
  <c r="J8" i="12"/>
  <c r="AO8" i="12" s="1"/>
  <c r="H8" i="12"/>
  <c r="I8" i="12" s="1"/>
  <c r="E8" i="12"/>
  <c r="AG7" i="12"/>
  <c r="AF7" i="12"/>
  <c r="Y7" i="12"/>
  <c r="X7" i="12"/>
  <c r="Q7" i="12"/>
  <c r="P7" i="12"/>
  <c r="AH6" i="12"/>
  <c r="AE6" i="12"/>
  <c r="Z6" i="12"/>
  <c r="U6" i="12"/>
  <c r="R6" i="12"/>
  <c r="M6" i="12"/>
  <c r="AH5" i="12"/>
  <c r="AF5" i="12"/>
  <c r="AE5" i="12"/>
  <c r="Z5" i="12"/>
  <c r="U5" i="12"/>
  <c r="R5" i="12"/>
  <c r="M5" i="12"/>
  <c r="AE10" i="12" l="1"/>
  <c r="AF10" i="12"/>
  <c r="AG10" i="12" s="1"/>
  <c r="W15" i="12"/>
  <c r="AE9" i="12"/>
  <c r="AF15" i="12"/>
  <c r="AG15" i="12" s="1"/>
  <c r="AO24" i="12"/>
  <c r="AF6" i="12"/>
  <c r="AG6" i="12" s="1"/>
  <c r="AF18" i="12"/>
  <c r="AG18" i="12" s="1"/>
  <c r="W21" i="12"/>
  <c r="X8" i="12"/>
  <c r="Y8" i="12" s="1"/>
  <c r="AE8" i="12"/>
  <c r="AF13" i="12"/>
  <c r="AG13" i="12" s="1"/>
  <c r="P14" i="12"/>
  <c r="Q14" i="12" s="1"/>
  <c r="P6" i="12"/>
  <c r="Q6" i="12" s="1"/>
  <c r="O9" i="12"/>
  <c r="O11" i="12"/>
  <c r="P18" i="12"/>
  <c r="Q18" i="12" s="1"/>
  <c r="P9" i="12"/>
  <c r="Q9" i="12" s="1"/>
  <c r="O10" i="12"/>
  <c r="P5" i="12"/>
  <c r="P15" i="12"/>
  <c r="Q15" i="12" s="1"/>
  <c r="P20" i="12"/>
  <c r="P19" i="12"/>
  <c r="Q19" i="12" s="1"/>
  <c r="O6" i="12"/>
  <c r="P11" i="12"/>
  <c r="Q11" i="12" s="1"/>
  <c r="O5" i="12"/>
  <c r="P10" i="12"/>
  <c r="Q10" i="12" s="1"/>
  <c r="O8" i="12"/>
  <c r="P16" i="12"/>
  <c r="Q16" i="12" s="1"/>
  <c r="E24" i="12"/>
  <c r="F26" i="12" s="1"/>
  <c r="I13" i="12"/>
  <c r="I14" i="12"/>
  <c r="M24" i="12"/>
  <c r="P21" i="12"/>
  <c r="Q21" i="12" s="1"/>
  <c r="N26" i="12"/>
  <c r="M23" i="12"/>
  <c r="N25" i="12" s="1"/>
  <c r="X12" i="12"/>
  <c r="Y12" i="12" s="1"/>
  <c r="W20" i="12"/>
  <c r="W19" i="12"/>
  <c r="P38" i="12"/>
  <c r="U33" i="12" s="1"/>
  <c r="W13" i="12"/>
  <c r="W18" i="12"/>
  <c r="U23" i="12"/>
  <c r="V25" i="12" s="1"/>
  <c r="E23" i="12"/>
  <c r="F25" i="12" s="1"/>
  <c r="Q5" i="12"/>
  <c r="AG16" i="12"/>
  <c r="Q20" i="12"/>
  <c r="AG21" i="12"/>
  <c r="I9" i="12"/>
  <c r="AG19" i="12"/>
  <c r="AG20" i="12"/>
  <c r="AG5" i="12"/>
  <c r="W5" i="12"/>
  <c r="W6" i="12"/>
  <c r="P8" i="12"/>
  <c r="AF8" i="12"/>
  <c r="W9" i="12"/>
  <c r="G10" i="12"/>
  <c r="W10" i="12"/>
  <c r="G11" i="12"/>
  <c r="W11" i="12"/>
  <c r="O12" i="12"/>
  <c r="AE12" i="12"/>
  <c r="X13" i="12"/>
  <c r="H15" i="12"/>
  <c r="X15" i="12"/>
  <c r="H16" i="12"/>
  <c r="X16" i="12"/>
  <c r="H18" i="12"/>
  <c r="X18" i="12"/>
  <c r="H19" i="12"/>
  <c r="X19" i="12"/>
  <c r="H20" i="12"/>
  <c r="X20" i="12"/>
  <c r="H21" i="12"/>
  <c r="X21" i="12"/>
  <c r="H5" i="12"/>
  <c r="X5" i="12"/>
  <c r="H6" i="12"/>
  <c r="X6" i="12"/>
  <c r="W8" i="12"/>
  <c r="G9" i="12"/>
  <c r="H10" i="12"/>
  <c r="X10" i="12"/>
  <c r="H11" i="12"/>
  <c r="P12" i="12"/>
  <c r="AF12" i="12"/>
  <c r="AE13" i="12"/>
  <c r="O15" i="12"/>
  <c r="AE15" i="12"/>
  <c r="O16" i="12"/>
  <c r="AE16" i="12"/>
  <c r="O18" i="12"/>
  <c r="AE18" i="12"/>
  <c r="O19" i="12"/>
  <c r="AE19" i="12"/>
  <c r="O20" i="12"/>
  <c r="AE20" i="12"/>
  <c r="AG12" i="12" l="1"/>
  <c r="I10" i="12"/>
  <c r="I6" i="12"/>
  <c r="Y21" i="12"/>
  <c r="Y19" i="12"/>
  <c r="Y16" i="12"/>
  <c r="Y13" i="12"/>
  <c r="AG8" i="12"/>
  <c r="AF23" i="12"/>
  <c r="AI8" i="12" s="1"/>
  <c r="Q12" i="12"/>
  <c r="X23" i="12"/>
  <c r="Y5" i="12"/>
  <c r="I21" i="12"/>
  <c r="I19" i="12"/>
  <c r="I16" i="12"/>
  <c r="Q8" i="12"/>
  <c r="I11" i="12"/>
  <c r="H23" i="12"/>
  <c r="K5" i="12" s="1"/>
  <c r="I5" i="12"/>
  <c r="Y20" i="12"/>
  <c r="Y18" i="12"/>
  <c r="Y15" i="12"/>
  <c r="Y10" i="12"/>
  <c r="Y6" i="12"/>
  <c r="I20" i="12"/>
  <c r="I18" i="12"/>
  <c r="I15" i="12"/>
  <c r="P23" i="12"/>
  <c r="AG24" i="12" l="1"/>
  <c r="I24" i="12"/>
  <c r="S5" i="12"/>
  <c r="AK5" i="12" s="1"/>
  <c r="S14" i="12"/>
  <c r="K13" i="12"/>
  <c r="K9" i="12"/>
  <c r="F17" i="20" s="1"/>
  <c r="H17" i="20" s="1"/>
  <c r="Q24" i="12"/>
  <c r="R33" i="12" s="1"/>
  <c r="W33" i="12" s="1"/>
  <c r="K19" i="12"/>
  <c r="F26" i="20" s="1"/>
  <c r="K14" i="12"/>
  <c r="F21" i="20" s="1"/>
  <c r="H21" i="20" s="1"/>
  <c r="F13" i="20"/>
  <c r="H13" i="20" s="1"/>
  <c r="K20" i="12"/>
  <c r="K16" i="12"/>
  <c r="F23" i="20" s="1"/>
  <c r="H23" i="20" s="1"/>
  <c r="K11" i="12"/>
  <c r="F19" i="20" s="1"/>
  <c r="H19" i="20" s="1"/>
  <c r="K21" i="12"/>
  <c r="AC21" i="12" s="1"/>
  <c r="K15" i="12"/>
  <c r="F22" i="20" s="1"/>
  <c r="H22" i="20" s="1"/>
  <c r="AA12" i="12"/>
  <c r="AA11" i="12"/>
  <c r="AA8" i="12"/>
  <c r="AA16" i="12"/>
  <c r="AA21" i="12"/>
  <c r="AA10" i="12"/>
  <c r="AA18" i="12"/>
  <c r="K10" i="12"/>
  <c r="F18" i="20" s="1"/>
  <c r="H18" i="20" s="1"/>
  <c r="S6" i="12"/>
  <c r="AK6" i="12" s="1"/>
  <c r="S11" i="12"/>
  <c r="AK11" i="12" s="1"/>
  <c r="S15" i="12"/>
  <c r="AK15" i="12" s="1"/>
  <c r="S20" i="12"/>
  <c r="AK20" i="12" s="1"/>
  <c r="S9" i="12"/>
  <c r="AK9" i="12" s="1"/>
  <c r="S16" i="12"/>
  <c r="AK16" i="12" s="1"/>
  <c r="S10" i="12"/>
  <c r="AK10" i="12" s="1"/>
  <c r="S18" i="12"/>
  <c r="AK18" i="12" s="1"/>
  <c r="S19" i="12"/>
  <c r="AK19" i="12" s="1"/>
  <c r="S21" i="12"/>
  <c r="AK21" i="12" s="1"/>
  <c r="K18" i="12"/>
  <c r="F24" i="20" s="1"/>
  <c r="H24" i="20" s="1"/>
  <c r="S8" i="12"/>
  <c r="AK8" i="12" s="1"/>
  <c r="Y24" i="12"/>
  <c r="S12" i="12"/>
  <c r="AK12" i="12" s="1"/>
  <c r="AA13" i="12"/>
  <c r="AA19" i="12"/>
  <c r="AA6" i="12"/>
  <c r="AA15" i="12"/>
  <c r="AA20" i="12"/>
  <c r="K12" i="12"/>
  <c r="F20" i="20" s="1"/>
  <c r="H20" i="20" s="1"/>
  <c r="K8" i="12"/>
  <c r="F16" i="20" s="1"/>
  <c r="H16" i="20" s="1"/>
  <c r="AA5" i="12"/>
  <c r="AI11" i="12"/>
  <c r="AI5" i="12"/>
  <c r="AI6" i="12"/>
  <c r="AI16" i="12"/>
  <c r="AI21" i="12"/>
  <c r="AI15" i="12"/>
  <c r="AI19" i="12"/>
  <c r="AI20" i="12"/>
  <c r="AI18" i="12"/>
  <c r="AI10" i="12"/>
  <c r="AI13" i="12"/>
  <c r="K6" i="12"/>
  <c r="F14" i="20" s="1"/>
  <c r="AI12" i="12"/>
  <c r="AK23" i="12" l="1"/>
  <c r="H14" i="20"/>
  <c r="P26" i="20"/>
  <c r="H26" i="20"/>
  <c r="AC15" i="12"/>
  <c r="AC20" i="12"/>
  <c r="F27" i="20"/>
  <c r="H27" i="20" s="1"/>
  <c r="AC19" i="12"/>
  <c r="AC16" i="12"/>
  <c r="AC12" i="12"/>
  <c r="AC18" i="12"/>
  <c r="AC5" i="12"/>
  <c r="AC11" i="12"/>
  <c r="AC8" i="12"/>
  <c r="AC6" i="12"/>
  <c r="AC10" i="12"/>
  <c r="AC9" i="12"/>
  <c r="AC23" i="12" l="1"/>
  <c r="P27" i="20"/>
  <c r="P29" i="20"/>
  <c r="F29" i="20" s="1"/>
  <c r="R8" i="20" s="1"/>
</calcChain>
</file>

<file path=xl/sharedStrings.xml><?xml version="1.0" encoding="utf-8"?>
<sst xmlns="http://schemas.openxmlformats.org/spreadsheetml/2006/main" count="871" uniqueCount="587">
  <si>
    <t>배합은 화학적 균질성을 결정하는 핵심 공정입니다. 투입 순서와 정밀 계량은 품질의 기본입니다.</t>
  </si>
  <si>
    <t>■ 원재료 투입 프로세스 (Sequence of Addition)</t>
  </si>
  <si>
    <t>분산 효율 극대화 및 미세 기포 방지를 위해 반드시 아래 순서를 엄수합니다.</t>
  </si>
  <si>
    <t>■ 공정 관리 항목 (Management Points)</t>
  </si>
  <si>
    <t>육안 확인 시점:</t>
  </si>
  <si>
    <t>설비 점검 시점:</t>
  </si>
  <si>
    <t>커팅 소음이 평소보다 커지거나 불규칙한 금속음이 들릴 때.</t>
  </si>
  <si>
    <t>백업 롤(Rubber Roll) 표면에 깊은 파임이 생겨 절단력이 저하되었을 때 (이때는 날과 롤을 함께 점검).</t>
  </si>
  <si>
    <r>
      <t>정기 교체 주기:</t>
    </r>
    <r>
      <rPr>
        <sz val="10"/>
        <color theme="1"/>
        <rFont val="맑은 고딕"/>
        <family val="3"/>
        <charset val="129"/>
      </rPr>
      <t xml:space="preserve"> 누적 생산량 또는 시간 단위로 설정 (300톤 생산 후, 또는 월 1회 정기 교체)</t>
    </r>
    <phoneticPr fontId="2" type="noConversion"/>
  </si>
  <si>
    <r>
      <t xml:space="preserve">섬유가 완전히 잘리지 않아 두세 가닥이 붙어서 나오는 </t>
    </r>
    <r>
      <rPr>
        <b/>
        <sz val="10"/>
        <color theme="1"/>
        <rFont val="맑은 고딕"/>
        <family val="3"/>
        <charset val="129"/>
      </rPr>
      <t>미절단 현상</t>
    </r>
    <r>
      <rPr>
        <sz val="10"/>
        <color theme="1"/>
        <rFont val="맑은 고딕"/>
        <family val="3"/>
        <charset val="129"/>
      </rPr>
      <t xml:space="preserve"> 발생 시.</t>
    </r>
    <phoneticPr fontId="2" type="noConversion"/>
  </si>
  <si>
    <r>
      <t xml:space="preserve">커팅된 유리섬유 끝부분이 매끄럽지 않고 </t>
    </r>
    <r>
      <rPr>
        <b/>
        <sz val="10"/>
        <color theme="1"/>
        <rFont val="맑은 고딕"/>
        <family val="3"/>
        <charset val="129"/>
      </rPr>
      <t>**보풀(Fuzz)**</t>
    </r>
    <r>
      <rPr>
        <sz val="10"/>
        <color theme="1"/>
        <rFont val="맑은 고딕"/>
        <family val="3"/>
        <charset val="129"/>
      </rPr>
      <t>이 심하게 발생할 때.</t>
    </r>
    <phoneticPr fontId="2" type="noConversion"/>
  </si>
  <si>
    <t xml:space="preserve">*커팅날 2~3회 교체후 백업 롤 교체 혹 그전에 백업 롤 이상시 교체 </t>
    <phoneticPr fontId="2" type="noConversion"/>
  </si>
  <si>
    <t>오히려 시트에 구멍(Pin-hole)을 낼 수 있습니다.</t>
    <phoneticPr fontId="2" type="noConversion"/>
  </si>
  <si>
    <t>탈포기는 시트 내부의 잔류 공기를 제거하는 역할을 합니다. 수지가 묻어 굳으면 공기가 빠지지 않고</t>
    <phoneticPr fontId="2" type="noConversion"/>
  </si>
  <si>
    <r>
      <t>필름 가루 제거:</t>
    </r>
    <r>
      <rPr>
        <sz val="10"/>
        <color theme="1"/>
        <rFont val="맑은 고딕"/>
        <family val="3"/>
        <charset val="129"/>
      </rPr>
      <t xml:space="preserve"> 정전기로 인해 붙은 필름 부스러기를 에어건으로 불어내어 다음 작업 시 이물질 혼입을 방지합니다.</t>
    </r>
  </si>
  <si>
    <t xml:space="preserve">사전 안전 조치 </t>
    <phoneticPr fontId="2" type="noConversion"/>
  </si>
  <si>
    <t xml:space="preserve">   칼날 사이사이에 낀 섬유 뭉치는 핀셋이나 뾰족한 도구를 이용해 수동으로 제거합니다.</t>
    <phoneticPr fontId="2" type="noConversion"/>
  </si>
  <si>
    <t xml:space="preserve">   칼날 표면에 수지가 굳어 있다면 **황동 브러시(Brass Brush)**를 사용하세요.</t>
    <phoneticPr fontId="2" type="noConversion"/>
  </si>
  <si>
    <t xml:space="preserve">   기계정지 : 설비가 갑자기 구동되지 않도록 반드시 기계를 정지하고 잠금장치를 하세요.</t>
    <phoneticPr fontId="2" type="noConversion"/>
  </si>
  <si>
    <t xml:space="preserve">   커팅 유닛 주변과 칼날 사이에 낀 유리섬유 부스러기를 에어건으로 불어냅니다.</t>
    <phoneticPr fontId="2" type="noConversion"/>
  </si>
  <si>
    <t xml:space="preserve">   주의: 분진이 비산되므로 반드시 집진기를 가동하거나 환기가 잘 되는 상태에서 작업하세요.</t>
    <phoneticPr fontId="2" type="noConversion"/>
  </si>
  <si>
    <t xml:space="preserve">   커팅롤 과 고무 롤을 손으로 살짝 돌려보아 걸리는 느낌 없이 부드럽게 회전하는지 확인합니다.</t>
    <phoneticPr fontId="2" type="noConversion"/>
  </si>
  <si>
    <t xml:space="preserve">   *주기: 매 작업 종료 후 에어 청소를 기본으로 하고, 일주일에 한 번은 용제를 이용한 정밀 청소를 권장합니다.</t>
    <phoneticPr fontId="2" type="noConversion"/>
  </si>
  <si>
    <t xml:space="preserve"> 1단계: 에어건을 이용한 1차 분진 제거</t>
    <phoneticPr fontId="2" type="noConversion"/>
  </si>
  <si>
    <t xml:space="preserve"> 3단계: 용제를 이용한 정밀 세척</t>
    <phoneticPr fontId="2" type="noConversion"/>
  </si>
  <si>
    <t xml:space="preserve"> 4단계: 백업 롤(Rubber Roll) 청소</t>
    <phoneticPr fontId="2" type="noConversion"/>
  </si>
  <si>
    <t xml:space="preserve">   커팅날이 무뎌지면 유리섬유가 제대로 잘리지 않아 시트 내부에 섬유가 뭉치거나 분산이 불균일해집니다.</t>
    <phoneticPr fontId="2" type="noConversion"/>
  </si>
  <si>
    <t>②교체 가이드</t>
    <phoneticPr fontId="2" type="noConversion"/>
  </si>
  <si>
    <t xml:space="preserve">   마스크를 반드시 착용하세요.</t>
    <phoneticPr fontId="2" type="noConversion"/>
  </si>
  <si>
    <r>
      <t xml:space="preserve">   보호구 착용:</t>
    </r>
    <r>
      <rPr>
        <sz val="10"/>
        <color theme="1"/>
        <rFont val="맑은 고딕"/>
        <family val="3"/>
        <charset val="129"/>
      </rPr>
      <t xml:space="preserve"> 유리섬유 가루는 피부에 박히면 매우 따갑고 눈이나 호흡기에 해롭습니다. </t>
    </r>
    <r>
      <rPr>
        <b/>
        <sz val="10"/>
        <color theme="1"/>
        <rFont val="맑은 고딕"/>
        <family val="3"/>
        <charset val="129"/>
      </rPr>
      <t xml:space="preserve">내절단 장갑(방검 장갑), 고글, </t>
    </r>
    <phoneticPr fontId="2" type="noConversion"/>
  </si>
  <si>
    <r>
      <t xml:space="preserve">   헝겊에 </t>
    </r>
    <r>
      <rPr>
        <b/>
        <sz val="10"/>
        <color theme="1"/>
        <rFont val="맑은 고딕"/>
        <family val="3"/>
        <charset val="129"/>
      </rPr>
      <t>아세톤</t>
    </r>
    <r>
      <rPr>
        <sz val="10"/>
        <color theme="1"/>
        <rFont val="맑은 고딕"/>
        <family val="3"/>
        <charset val="129"/>
      </rPr>
      <t xml:space="preserve">이나 </t>
    </r>
    <r>
      <rPr>
        <b/>
        <sz val="10"/>
        <color theme="1"/>
        <rFont val="맑은 고딕"/>
        <family val="3"/>
        <charset val="129"/>
      </rPr>
      <t>전용 세척제</t>
    </r>
    <r>
      <rPr>
        <sz val="10"/>
        <color theme="1"/>
        <rFont val="맑은 고딕"/>
        <family val="3"/>
        <charset val="129"/>
      </rPr>
      <t xml:space="preserve">를 묻혀 칼날 표면을 닦아냅니다. 수지 성분을 녹여내어 칼날이 매끄럽게 회전하도록 </t>
    </r>
    <phoneticPr fontId="2" type="noConversion"/>
  </si>
  <si>
    <r>
      <t xml:space="preserve">   돕습니다. 이때 칼날의 </t>
    </r>
    <r>
      <rPr>
        <b/>
        <sz val="10"/>
        <color theme="1"/>
        <rFont val="맑은 고딕"/>
        <family val="3"/>
        <charset val="129"/>
      </rPr>
      <t>마모 상태</t>
    </r>
    <r>
      <rPr>
        <sz val="10"/>
        <color theme="1"/>
        <rFont val="맑은 고딕"/>
        <family val="2"/>
        <charset val="129"/>
      </rPr>
      <t>(이빨 빠짐 등)를 함께 육안으로 점검하세요.</t>
    </r>
    <phoneticPr fontId="2" type="noConversion"/>
  </si>
  <si>
    <t xml:space="preserve">   칼날이 맞닿는 고무 롤(Backup Roll) 표면에 박힌 유리섬유 조각들도 함께 제거해야 합니다. 고무 롤이 깨끗해야 칼날이 </t>
    <phoneticPr fontId="2" type="noConversion"/>
  </si>
  <si>
    <t xml:space="preserve">   끝까지 균일하게 눌려 절단이 잘 됩니다.</t>
    <phoneticPr fontId="2" type="noConversion"/>
  </si>
  <si>
    <t xml:space="preserve">   *청소 후에도 섬유가 씹히거나 보풀이 많이 난다면 청소의 문제가 아니라 날의 수명이 다한 것이므로 즉시 교체해야 </t>
    <phoneticPr fontId="2" type="noConversion"/>
  </si>
  <si>
    <t xml:space="preserve">    합니다.</t>
    <phoneticPr fontId="2" type="noConversion"/>
  </si>
  <si>
    <r>
      <t>잔류 수지 제거:</t>
    </r>
    <r>
      <rPr>
        <sz val="10"/>
        <color theme="1"/>
        <rFont val="맑은 고딕"/>
        <family val="3"/>
        <charset val="129"/>
      </rPr>
      <t xml:space="preserve"> 수지가 완전히 경화되기 전, 전용 용제(아세톤 또는 대체 세척제)를 적신 헝겊으로 롤러 표면을 </t>
    </r>
    <phoneticPr fontId="2" type="noConversion"/>
  </si>
  <si>
    <t xml:space="preserve">                   닦아냅니다.</t>
    <phoneticPr fontId="2" type="noConversion"/>
  </si>
  <si>
    <r>
      <t>홈(Groove) 집중 청소:</t>
    </r>
    <r>
      <rPr>
        <sz val="10"/>
        <color theme="1"/>
        <rFont val="맑은 고딕"/>
        <family val="3"/>
        <charset val="129"/>
      </rPr>
      <t xml:space="preserve"> 탈포 롤러는 보통 홈이 파여 있는 형태이므로, 홈 사이에 끼인 수지는 황동 브러시</t>
    </r>
    <phoneticPr fontId="2" type="noConversion"/>
  </si>
  <si>
    <t xml:space="preserve">                               (Steel 브러시는 롤러 손상 위험)를 사용하여 제거합니다.</t>
    <phoneticPr fontId="2" type="noConversion"/>
  </si>
  <si>
    <t xml:space="preserve">             않을 때.</t>
    <phoneticPr fontId="2" type="noConversion"/>
  </si>
  <si>
    <r>
      <t xml:space="preserve">   교체 신호: </t>
    </r>
    <r>
      <rPr>
        <sz val="10"/>
        <color theme="1"/>
        <rFont val="맑은 고딕"/>
        <family val="3"/>
        <charset val="129"/>
      </rPr>
      <t xml:space="preserve">탈포 롤러의 돌기 부분이 마모되어 공기 제거 효율이 급격히 떨어지거나, 수지가 고착되어 청소로 해결되지 </t>
    </r>
    <phoneticPr fontId="2" type="noConversion"/>
  </si>
  <si>
    <r>
      <t xml:space="preserve">   조립 팁: </t>
    </r>
    <r>
      <rPr>
        <sz val="10"/>
        <color theme="1"/>
        <rFont val="맑은 고딕"/>
        <family val="3"/>
        <charset val="129"/>
      </rPr>
      <t>조립 후 무부하 상태에서 회전시켜 편심(떨림)이 없는지 반드시 확인하십시오.</t>
    </r>
    <phoneticPr fontId="2" type="noConversion"/>
  </si>
  <si>
    <t xml:space="preserve">   롤러는 메쉬벨트를 통해 전달되는 압력을 시트에 고르게 분사하는 역할을 합니다.</t>
    <phoneticPr fontId="2" type="noConversion"/>
  </si>
  <si>
    <t xml:space="preserve">   메쉬벨트는 통기성과 압착력을 동시에 가져야 하며, 파손 시 즉시 교체해야 합니다.</t>
    <phoneticPr fontId="2" type="noConversion"/>
  </si>
  <si>
    <r>
      <t xml:space="preserve">   벨트 사행(쏠림): </t>
    </r>
    <r>
      <rPr>
        <sz val="10"/>
        <color theme="1"/>
        <rFont val="맑은 고딕"/>
        <family val="3"/>
        <charset val="129"/>
      </rPr>
      <t>벨트가 자꾸 한쪽으로 치우쳐 프레임에 닿아 끝부분이 너덜너덜해질 때.</t>
    </r>
    <phoneticPr fontId="2" type="noConversion"/>
  </si>
  <si>
    <r>
      <rPr>
        <b/>
        <sz val="10"/>
        <color theme="1"/>
        <rFont val="맑은 고딕"/>
        <family val="3"/>
        <charset val="129"/>
      </rPr>
      <t xml:space="preserve">   메쉬 눈막힘</t>
    </r>
    <r>
      <rPr>
        <sz val="10"/>
        <color theme="1"/>
        <rFont val="맑은 고딕"/>
        <family val="3"/>
        <charset val="129"/>
      </rPr>
      <t>: 유리섬유 가루와 수지가 메쉬 구멍을 다 막아서 함침 능력이 떨어질 때.</t>
    </r>
    <phoneticPr fontId="2" type="noConversion"/>
  </si>
  <si>
    <r>
      <rPr>
        <b/>
        <sz val="10"/>
        <color theme="1"/>
        <rFont val="맑은 고딕"/>
        <family val="3"/>
        <charset val="129"/>
      </rPr>
      <t xml:space="preserve">   이음매(Joint) 파손:</t>
    </r>
    <r>
      <rPr>
        <sz val="11"/>
        <color theme="1"/>
        <rFont val="맑은 고딕"/>
        <family val="2"/>
        <charset val="129"/>
      </rPr>
      <t xml:space="preserve"> </t>
    </r>
    <r>
      <rPr>
        <sz val="10"/>
        <color theme="1"/>
        <rFont val="맑은 고딕"/>
        <family val="3"/>
        <charset val="129"/>
      </rPr>
      <t>벨트를 연결하는 핀이나 이음매 부위가 벌어지거나 끊어지려 할 때.</t>
    </r>
    <phoneticPr fontId="2" type="noConversion"/>
  </si>
  <si>
    <r>
      <t xml:space="preserve">   </t>
    </r>
    <r>
      <rPr>
        <b/>
        <sz val="10"/>
        <color theme="1"/>
        <rFont val="맑은 고딕"/>
        <family val="3"/>
        <charset val="129"/>
      </rPr>
      <t>표면 수지 고착:</t>
    </r>
    <r>
      <rPr>
        <sz val="10"/>
        <color theme="1"/>
        <rFont val="맑은 고딕"/>
        <family val="3"/>
        <charset val="129"/>
      </rPr>
      <t xml:space="preserve"> 롤러에 수지가 굳어 붙으면 메쉬벨트를 파손시키거나 시트 두께를 불균일하게 만듭니다.</t>
    </r>
    <phoneticPr fontId="2" type="noConversion"/>
  </si>
  <si>
    <r>
      <t xml:space="preserve">   </t>
    </r>
    <r>
      <rPr>
        <b/>
        <sz val="10"/>
        <color theme="1"/>
        <rFont val="맑은 고딕"/>
        <family val="3"/>
        <charset val="129"/>
      </rPr>
      <t>편마모 발생:</t>
    </r>
    <r>
      <rPr>
        <sz val="10"/>
        <color theme="1"/>
        <rFont val="맑은 고딕"/>
        <family val="2"/>
        <charset val="129"/>
      </rPr>
      <t xml:space="preserve"> 롤러의 특정 부분만 닳아서 메쉬벨트가 헛돌거나 한쪽으로 쏠릴 때.</t>
    </r>
    <phoneticPr fontId="2" type="noConversion"/>
  </si>
  <si>
    <t xml:space="preserve">   함침기는 수지가 유리섬유 사이사이로 잘 스며들게 압력을 가하는 장치입니다. 롤러의 평행도와 압력이 깨지면 </t>
    <phoneticPr fontId="2" type="noConversion"/>
  </si>
  <si>
    <t xml:space="preserve">   제품 두께가 불균일해집니다.</t>
    <phoneticPr fontId="2" type="noConversion"/>
  </si>
  <si>
    <t>점검 및 교체 시점</t>
    <phoneticPr fontId="2" type="noConversion"/>
  </si>
  <si>
    <t xml:space="preserve">   텐션 롤러를 조절하여 벨트의 장력을 완전히 풉니다.</t>
    <phoneticPr fontId="2" type="noConversion"/>
  </si>
  <si>
    <t>1단계: 텐션 해제</t>
    <phoneticPr fontId="2" type="noConversion"/>
  </si>
  <si>
    <t xml:space="preserve"> 2단계: 고착된 수지 및 이물질 제거</t>
    <phoneticPr fontId="2" type="noConversion"/>
  </si>
  <si>
    <t>2단계: 이음매분리</t>
    <phoneticPr fontId="2" type="noConversion"/>
  </si>
  <si>
    <t xml:space="preserve">   벨트의 연결 핀(Clipper Joint)을 뽑아 헌 벨트를 제거합니다.</t>
    <phoneticPr fontId="2" type="noConversion"/>
  </si>
  <si>
    <t>3.단계: 신규 벨트 주행</t>
    <phoneticPr fontId="2" type="noConversion"/>
  </si>
  <si>
    <t xml:space="preserve">   새 벨트를 롤러 사이로 통과시킨 후 연결 핀을 삽입합니다.</t>
    <phoneticPr fontId="2" type="noConversion"/>
  </si>
  <si>
    <t>4단계: 텐션 및 사행 조절</t>
    <phoneticPr fontId="2" type="noConversion"/>
  </si>
  <si>
    <t xml:space="preserve">   잡습니다.</t>
    <phoneticPr fontId="2" type="noConversion"/>
  </si>
  <si>
    <t xml:space="preserve">   벨트가 팽팽하게 당겨지도록 조절한 후, 저속으로 돌리며 좌우로 쏠리지 않게 **트래킹(Tracking)**을 </t>
    <phoneticPr fontId="2" type="noConversion"/>
  </si>
  <si>
    <r>
      <t xml:space="preserve">   벨트 세척: </t>
    </r>
    <r>
      <rPr>
        <sz val="10"/>
        <color theme="1"/>
        <rFont val="맑은 고딕"/>
        <family val="3"/>
        <charset val="129"/>
      </rPr>
      <t>작업 종료 후 벨트에 묻은 수지를 아세톤 등으로 닦아내어 구멍이 막히지 않게 함.</t>
    </r>
    <phoneticPr fontId="2" type="noConversion"/>
  </si>
  <si>
    <r>
      <t xml:space="preserve">   </t>
    </r>
    <r>
      <rPr>
        <b/>
        <sz val="10"/>
        <color theme="1"/>
        <rFont val="맑은 고딕"/>
        <family val="3"/>
        <charset val="129"/>
      </rPr>
      <t>이물질 제거:</t>
    </r>
    <r>
      <rPr>
        <sz val="10"/>
        <color theme="1"/>
        <rFont val="맑은 고딕"/>
        <family val="2"/>
        <charset val="129"/>
      </rPr>
      <t xml:space="preserve"> 롤러와 벨트 사이에 낀 컴파운드 및 유리섬유 조각을 에어로 불어냄.</t>
    </r>
    <phoneticPr fontId="2" type="noConversion"/>
  </si>
  <si>
    <r>
      <t xml:space="preserve">   </t>
    </r>
    <r>
      <rPr>
        <b/>
        <sz val="10"/>
        <color theme="1"/>
        <rFont val="맑은 고딕"/>
        <family val="3"/>
        <charset val="129"/>
      </rPr>
      <t>롤러 베어링:</t>
    </r>
    <r>
      <rPr>
        <sz val="10"/>
        <color theme="1"/>
        <rFont val="맑은 고딕"/>
        <family val="2"/>
        <charset val="129"/>
      </rPr>
      <t xml:space="preserve"> 메쉬벨트의 장력 때문에 베어링에 무리가 가므로 주기적으로 구리스 주입.</t>
    </r>
    <phoneticPr fontId="2" type="noConversion"/>
  </si>
  <si>
    <r>
      <t xml:space="preserve">   </t>
    </r>
    <r>
      <rPr>
        <b/>
        <sz val="10"/>
        <color theme="1"/>
        <rFont val="맑은 고딕"/>
        <family val="3"/>
        <charset val="129"/>
      </rPr>
      <t>텐션 점검</t>
    </r>
    <r>
      <rPr>
        <sz val="10"/>
        <color theme="1"/>
        <rFont val="맑은 고딕"/>
        <family val="2"/>
        <charset val="129"/>
      </rPr>
      <t>: 벨트가 늘어지지 않았는지 확인하고 필요시 장력을 재조정.</t>
    </r>
    <phoneticPr fontId="2" type="noConversion"/>
  </si>
  <si>
    <t>①청소 및 관리 가이드 (매 작업 종로 후 필수)</t>
    <phoneticPr fontId="2" type="noConversion"/>
  </si>
  <si>
    <t xml:space="preserve"> 점검 및 교체 시점</t>
    <phoneticPr fontId="2" type="noConversion"/>
  </si>
  <si>
    <t xml:space="preserve"> *함침기 롤러(Roller) 관리</t>
    <phoneticPr fontId="2" type="noConversion"/>
  </si>
  <si>
    <t>*메쉬벨트(Mesh Belt) 관리</t>
    <phoneticPr fontId="2" type="noConversion"/>
  </si>
  <si>
    <t xml:space="preserve">   </t>
    <phoneticPr fontId="2" type="noConversion"/>
  </si>
  <si>
    <t xml:space="preserve">    하루 만에 망가질 수 있습니다. (실제 경험 있음)</t>
    <phoneticPr fontId="2" type="noConversion"/>
  </si>
  <si>
    <r>
      <t xml:space="preserve">   *메쉬벨트 쏠림 방지: 작업자들에게 벨트가 </t>
    </r>
    <r>
      <rPr>
        <b/>
        <sz val="10"/>
        <color rgb="FFFF0000"/>
        <rFont val="맑은 고딕"/>
        <family val="3"/>
        <charset val="129"/>
      </rPr>
      <t>한쪽으로 쏠리는지 수시로 확인</t>
    </r>
    <r>
      <rPr>
        <sz val="10"/>
        <color theme="1"/>
        <rFont val="맑은 고딕"/>
        <family val="3"/>
        <charset val="129"/>
      </rPr>
      <t xml:space="preserve">하게 하세요. 쏠림을 방치하면 새 벨트도 </t>
    </r>
    <phoneticPr fontId="2" type="noConversion"/>
  </si>
  <si>
    <r>
      <t xml:space="preserve">   *스페어 확보: 메쉬벨트는 갑자기 끊어지는 경우가 많으므로 반드시 </t>
    </r>
    <r>
      <rPr>
        <b/>
        <sz val="10"/>
        <color rgb="FFFF0000"/>
        <rFont val="맑은 고딕"/>
        <family val="3"/>
        <charset val="129"/>
      </rPr>
      <t>상하부 1세트 이상 상시 재고</t>
    </r>
    <r>
      <rPr>
        <sz val="10"/>
        <color theme="1"/>
        <rFont val="맑은 고딕"/>
        <family val="3"/>
        <charset val="129"/>
      </rPr>
      <t>를 보유하셔야 합니다.</t>
    </r>
    <phoneticPr fontId="2" type="noConversion"/>
  </si>
  <si>
    <r>
      <t xml:space="preserve">   *수평의 중요성: "</t>
    </r>
    <r>
      <rPr>
        <b/>
        <sz val="10"/>
        <color rgb="FFFF0000"/>
        <rFont val="맑은 고딕"/>
        <family val="3"/>
        <charset val="129"/>
      </rPr>
      <t>롤러 수평이 안 맞으면 벨트가 죽는다</t>
    </r>
    <r>
      <rPr>
        <sz val="10"/>
        <color theme="1"/>
        <rFont val="맑은 고딕"/>
        <family val="3"/>
        <charset val="129"/>
      </rPr>
      <t xml:space="preserve">"는 점을 강조하시고, 세팅을 직접 확인하시는 것이  </t>
    </r>
    <phoneticPr fontId="2" type="noConversion"/>
  </si>
  <si>
    <t xml:space="preserve">   닥터박스는 수지가 직접 담겨 있고 칼날(Blade)을 통해 두께를 조절하는 곳이라, 청소와 관리가 조금이라도 소홀하면 </t>
    <phoneticPr fontId="2" type="noConversion"/>
  </si>
  <si>
    <t xml:space="preserve">   바로 **제품 표면 불량(줄 생김)**이나 두께 불균일로 이어집니다.</t>
    <phoneticPr fontId="2" type="noConversion"/>
  </si>
  <si>
    <r>
      <rPr>
        <b/>
        <sz val="14"/>
        <color theme="4" tint="-0.249977111117893"/>
        <rFont val="맑은 고딕"/>
        <family val="3"/>
        <charset val="129"/>
      </rPr>
      <t>②</t>
    </r>
    <r>
      <rPr>
        <b/>
        <sz val="11"/>
        <color theme="4" tint="-0.249977111117893"/>
        <rFont val="맑은 고딕"/>
        <family val="3"/>
        <charset val="129"/>
      </rPr>
      <t>교체 가이드</t>
    </r>
    <phoneticPr fontId="2" type="noConversion"/>
  </si>
  <si>
    <r>
      <rPr>
        <b/>
        <sz val="10"/>
        <color theme="1"/>
        <rFont val="맑은 고딕"/>
        <family val="3"/>
        <charset val="129"/>
      </rPr>
      <t xml:space="preserve">   수지 배출:</t>
    </r>
    <r>
      <rPr>
        <sz val="10"/>
        <color theme="1"/>
        <rFont val="맑은 고딕"/>
        <family val="2"/>
        <charset val="129"/>
      </rPr>
      <t xml:space="preserve"> 작업이 끝나면 박스 내부의 잔류 수지를 최대한 비워냅니다.</t>
    </r>
    <phoneticPr fontId="2" type="noConversion"/>
  </si>
  <si>
    <t xml:space="preserve">               헤라를 사용하여 스크래치를 방지하세요.</t>
    <phoneticPr fontId="2" type="noConversion"/>
  </si>
  <si>
    <r>
      <t xml:space="preserve"> </t>
    </r>
    <r>
      <rPr>
        <b/>
        <sz val="10"/>
        <color theme="1"/>
        <rFont val="맑은 고딕"/>
        <family val="3"/>
        <charset val="129"/>
      </rPr>
      <t xml:space="preserve">  1차 닦기:</t>
    </r>
    <r>
      <rPr>
        <sz val="10"/>
        <color theme="1"/>
        <rFont val="맑은 고딕"/>
        <family val="3"/>
        <charset val="129"/>
      </rPr>
      <t xml:space="preserve"> 헤라(스크래퍼)를 이용해 벽면에 붙은 수지를 긁어냅니다. 이때 스테인리스 박스라면 플라스틱 및 황동</t>
    </r>
    <phoneticPr fontId="2" type="noConversion"/>
  </si>
  <si>
    <r>
      <t xml:space="preserve">   </t>
    </r>
    <r>
      <rPr>
        <b/>
        <sz val="10"/>
        <color theme="1"/>
        <rFont val="맑은 고딕"/>
        <family val="3"/>
        <charset val="129"/>
      </rPr>
      <t>세척제 활용:</t>
    </r>
    <r>
      <rPr>
        <sz val="10"/>
        <color theme="1"/>
        <rFont val="맑은 고딕"/>
        <family val="3"/>
        <charset val="129"/>
      </rPr>
      <t xml:space="preserve"> 수지 전용 세척제 및 아세톤을 헝겊에 적셔 칼날(Blade)과 박스 내부 구석구석을 닦아냅니다.</t>
    </r>
    <phoneticPr fontId="2" type="noConversion"/>
  </si>
  <si>
    <t xml:space="preserve">   닥터박스의 핵심인 칼날은 아주 작은 이물질이나 손상에도 예민합니다.</t>
    <phoneticPr fontId="2" type="noConversion"/>
  </si>
  <si>
    <r>
      <t xml:space="preserve">   </t>
    </r>
    <r>
      <rPr>
        <b/>
        <sz val="10"/>
        <color theme="1"/>
        <rFont val="맑은 고딕"/>
        <family val="3"/>
        <charset val="129"/>
      </rPr>
      <t>칼날 날 끝(Edge) 점검:</t>
    </r>
    <r>
      <rPr>
        <sz val="10"/>
        <color theme="1"/>
        <rFont val="맑은 고딕"/>
        <family val="3"/>
        <charset val="129"/>
      </rPr>
      <t xml:space="preserve"> 청소 시 칼날 끝을 손가락으로 살짝 만져보아(맨손 필수) 거칠거칠한 부분이나 이빨 빠진 곳이 </t>
    </r>
    <phoneticPr fontId="2" type="noConversion"/>
  </si>
  <si>
    <t xml:space="preserve">  없는지 확인합니다.</t>
    <phoneticPr fontId="2" type="noConversion"/>
  </si>
  <si>
    <t xml:space="preserve"> ③댐(Dam) 관리</t>
    <phoneticPr fontId="2" type="noConversion"/>
  </si>
  <si>
    <t xml:space="preserve">   수지가 옆으로 새는 것을 막아주는 부위입니다.</t>
    <phoneticPr fontId="2" type="noConversion"/>
  </si>
  <si>
    <t xml:space="preserve"> ④닥터박스 금지 수칙 </t>
    <phoneticPr fontId="2" type="noConversion"/>
  </si>
  <si>
    <t xml:space="preserve">         천이나 황동 헤라를 쓰세요.</t>
    <phoneticPr fontId="2" type="noConversion"/>
  </si>
  <si>
    <r>
      <t xml:space="preserve">  </t>
    </r>
    <r>
      <rPr>
        <b/>
        <sz val="10"/>
        <color theme="1"/>
        <rFont val="맑은 고딕"/>
        <family val="3"/>
        <charset val="129"/>
      </rPr>
      <t xml:space="preserve">철 헤라 사용금지: </t>
    </r>
    <r>
      <rPr>
        <sz val="10"/>
        <color theme="1"/>
        <rFont val="맑은 고딕"/>
        <family val="2"/>
        <charset val="129"/>
      </rPr>
      <t xml:space="preserve">칼날 표면에 스크래치를 내면 그 자리에 수지가 더 잘 붙고 시트에 줄이 생깁니다. 반드시 부드러운 </t>
    </r>
    <phoneticPr fontId="2" type="noConversion"/>
  </si>
  <si>
    <r>
      <t xml:space="preserve">  무리한 힘 가하지 않기: </t>
    </r>
    <r>
      <rPr>
        <sz val="10"/>
        <color theme="1"/>
        <rFont val="맑은 고딕"/>
        <family val="3"/>
        <charset val="129"/>
      </rPr>
      <t xml:space="preserve">닥터박스 세팅이 안 맞는다고 망치로 때리면 정밀한 수평(0.05mm)이 영구적으로 틀어집니다. </t>
    </r>
    <phoneticPr fontId="2" type="noConversion"/>
  </si>
  <si>
    <t xml:space="preserve"> 반드시 조절 볼트를 이용하세요.</t>
    <phoneticPr fontId="2" type="noConversion"/>
  </si>
  <si>
    <r>
      <rPr>
        <b/>
        <sz val="10"/>
        <color theme="1"/>
        <rFont val="맑은 고딕"/>
        <family val="3"/>
        <charset val="129"/>
      </rPr>
      <t xml:space="preserve">   잔류 수지 방치 금지:</t>
    </r>
    <r>
      <rPr>
        <sz val="10"/>
        <color theme="1"/>
        <rFont val="맑은 고딕"/>
        <family val="3"/>
        <charset val="129"/>
      </rPr>
      <t xml:space="preserve"> "내일 아침에 닦지 뭐" 하고 퇴근하면 다음 날 D/B를 통째로 갈아야 할 수도 있습니다.</t>
    </r>
    <phoneticPr fontId="2" type="noConversion"/>
  </si>
  <si>
    <t>SMC Machine Management &amp; Maintenance Guide</t>
    <phoneticPr fontId="2" type="noConversion"/>
  </si>
  <si>
    <t xml:space="preserve"> ②칼날 집중 관리</t>
    <phoneticPr fontId="2" type="noConversion"/>
  </si>
  <si>
    <t xml:space="preserve"> 2. 유리섬유 커팅날( Cutter Blade) 관리 및 교체 가이드</t>
    <phoneticPr fontId="2" type="noConversion"/>
  </si>
  <si>
    <t>3. 탈포기(Compaction/De-airing Roller) 관리 및 교체가이드</t>
    <phoneticPr fontId="2" type="noConversion"/>
  </si>
  <si>
    <t xml:space="preserve">  ①청소 및 관리 가이드 (매 작업 종료 후 필수)</t>
    <phoneticPr fontId="2" type="noConversion"/>
  </si>
  <si>
    <t xml:space="preserve">  ②교체 가이드</t>
    <phoneticPr fontId="2" type="noConversion"/>
  </si>
  <si>
    <t xml:space="preserve">  ①청소 및 관리 가이드 (매 작업 종료 전 후 필수)</t>
    <phoneticPr fontId="2" type="noConversion"/>
  </si>
  <si>
    <t xml:space="preserve"> 4. SMC 함침기(Impregnation Unit) 교체 및 관리 가이드</t>
    <phoneticPr fontId="2" type="noConversion"/>
  </si>
  <si>
    <t xml:space="preserve">                       좋습니다.</t>
    <phoneticPr fontId="2" type="noConversion"/>
  </si>
  <si>
    <t>1. 온도 관리</t>
  </si>
  <si>
    <r>
      <rPr>
        <b/>
        <sz val="10"/>
        <color theme="1"/>
        <rFont val="맑은 고딕"/>
        <family val="3"/>
        <charset val="129"/>
      </rPr>
      <t>적정 온도:</t>
    </r>
    <r>
      <rPr>
        <sz val="10"/>
        <color theme="1"/>
        <rFont val="맑은 고딕"/>
        <family val="3"/>
        <charset val="129"/>
      </rPr>
      <t xml:space="preserve"> 반드시 20±5°C의 서늘한 곳에 보관해야 합니다.</t>
    </r>
    <phoneticPr fontId="2" type="noConversion"/>
  </si>
  <si>
    <t>2. 밀봉 및 습기 차단</t>
  </si>
  <si>
    <t xml:space="preserve">             증착 필름 등으로 공기가 통하지 않게 밀봉하여야 합니다.</t>
    <phoneticPr fontId="2" type="noConversion"/>
  </si>
  <si>
    <r>
      <t>밀봉 유지:</t>
    </r>
    <r>
      <rPr>
        <sz val="10"/>
        <color theme="1"/>
        <rFont val="맑은 고딕"/>
        <family val="3"/>
        <charset val="129"/>
      </rPr>
      <t xml:space="preserve"> 습기가 스며들면 성형 시 기포(Blister)가 발생하므로 사용하고 남은 시트는 반드시 알루미늄 </t>
    </r>
    <phoneticPr fontId="2" type="noConversion"/>
  </si>
  <si>
    <r>
      <rPr>
        <b/>
        <sz val="10"/>
        <color theme="1"/>
        <rFont val="맑은 고딕"/>
        <family val="3"/>
        <charset val="129"/>
      </rPr>
      <t>적정 점도 확보:</t>
    </r>
    <r>
      <rPr>
        <sz val="10"/>
        <color theme="1"/>
        <rFont val="맑은 고딕"/>
        <family val="2"/>
        <charset val="129"/>
      </rPr>
      <t xml:space="preserve"> 증점제(MgO 등)가 충분히 반응하여 금형 내에서 잘 흐를 수 있는 점도가 될 때까지 </t>
    </r>
    <phoneticPr fontId="2" type="noConversion"/>
  </si>
  <si>
    <t xml:space="preserve">                   보통 18~36시간 정도의 숙성 기간을 거친 후 투입하세요.</t>
    <phoneticPr fontId="2" type="noConversion"/>
  </si>
  <si>
    <r>
      <rPr>
        <b/>
        <sz val="10"/>
        <color theme="1"/>
        <rFont val="맑은 고딕"/>
        <family val="3"/>
        <charset val="129"/>
      </rPr>
      <t>과숙성 주의:</t>
    </r>
    <r>
      <rPr>
        <sz val="10"/>
        <color theme="1"/>
        <rFont val="맑은 고딕"/>
        <family val="2"/>
        <charset val="129"/>
      </rPr>
      <t xml:space="preserve"> 너무 오래 방치(보통 2~3개월 이상)하면 유동성이 떨어져 미충진 불량이 생길 수 있습니다.</t>
    </r>
    <phoneticPr fontId="2" type="noConversion"/>
  </si>
  <si>
    <t>4. 선입선출 (FIFO) 원칙</t>
  </si>
  <si>
    <t xml:space="preserve">            현상이 발생하면 불량의 원인이 됩니다.</t>
    <phoneticPr fontId="2" type="noConversion"/>
  </si>
  <si>
    <r>
      <t>주의사항:</t>
    </r>
    <r>
      <rPr>
        <sz val="10"/>
        <color theme="1"/>
        <rFont val="맑은 고딕"/>
        <family val="3"/>
        <charset val="129"/>
      </rPr>
      <t xml:space="preserve"> 30°C 이상의 고온에 장시간 노출되면 성형하기도 전에 딱딱하게 굳는 </t>
    </r>
    <r>
      <rPr>
        <b/>
        <sz val="10"/>
        <color theme="1"/>
        <rFont val="맑은 고딕"/>
        <family val="3"/>
        <charset val="129"/>
      </rPr>
      <t>조기 경화(Pre-gelation)</t>
    </r>
    <r>
      <rPr>
        <sz val="10"/>
        <color theme="1"/>
        <rFont val="맑은 고딕"/>
        <family val="3"/>
        <charset val="129"/>
      </rPr>
      <t xml:space="preserve"> </t>
    </r>
    <phoneticPr fontId="2" type="noConversion"/>
  </si>
  <si>
    <r>
      <rPr>
        <b/>
        <sz val="10"/>
        <color theme="1"/>
        <rFont val="맑은 고딕"/>
        <family val="3"/>
        <charset val="129"/>
      </rPr>
      <t xml:space="preserve">제조일 확인: </t>
    </r>
    <r>
      <rPr>
        <sz val="10"/>
        <color theme="1"/>
        <rFont val="맑은 고딕"/>
        <family val="3"/>
        <charset val="129"/>
      </rPr>
      <t xml:space="preserve">먼저 들어온 시트를 먼저 사용하는 선입선출을 철저히 지켜야 합니다. 장기 보관된 시트는 </t>
    </r>
    <phoneticPr fontId="2" type="noConversion"/>
  </si>
  <si>
    <t xml:space="preserve">                성형성이 급격히 저하됩니다.</t>
    <phoneticPr fontId="2" type="noConversion"/>
  </si>
  <si>
    <t>5. 작업 전 예열 (Winter Season)</t>
    <phoneticPr fontId="2" type="noConversion"/>
  </si>
  <si>
    <t xml:space="preserve">             것이 좋습니다.</t>
    <phoneticPr fontId="2" type="noConversion"/>
  </si>
  <si>
    <r>
      <rPr>
        <b/>
        <sz val="10"/>
        <color theme="1"/>
        <rFont val="맑은 고딕"/>
        <family val="3"/>
        <charset val="129"/>
      </rPr>
      <t>상온 적응:</t>
    </r>
    <r>
      <rPr>
        <sz val="10"/>
        <color theme="1"/>
        <rFont val="맑은 고딕"/>
        <family val="3"/>
        <charset val="129"/>
      </rPr>
      <t xml:space="preserve"> 작업 전 약 12~24시간 정도 미리 작업장 온도로 옮겨두어 시트의 온도를 안정시킨 후 성형하는 </t>
    </r>
    <phoneticPr fontId="2" type="noConversion"/>
  </si>
  <si>
    <t>비고</t>
    <phoneticPr fontId="2" type="noConversion"/>
  </si>
  <si>
    <t>3. 숙성(Maturation) 기간 준수</t>
    <phoneticPr fontId="2" type="noConversion"/>
  </si>
  <si>
    <t>SMC 시트 관리 핵심 수칙</t>
    <phoneticPr fontId="2" type="noConversion"/>
  </si>
  <si>
    <t>Quy tắc cốt lõi về quản lý tấm SMC</t>
  </si>
  <si>
    <t>1. Quản lý nhiệt độ</t>
  </si>
  <si>
    <r>
      <t>Nhiệt độ thích hợp:</t>
    </r>
    <r>
      <rPr>
        <sz val="11"/>
        <color theme="1"/>
        <rFont val="맑은 고딕"/>
        <family val="2"/>
        <charset val="129"/>
      </rPr>
      <t xml:space="preserve"> Phải bảo quản ở nơi thoáng mát với nhiệt độ duy trì ở mức </t>
    </r>
    <r>
      <rPr>
        <b/>
        <sz val="11"/>
        <color theme="1"/>
        <rFont val="맑은 고딕"/>
        <family val="3"/>
        <charset val="129"/>
      </rPr>
      <t>20±5°C</t>
    </r>
    <r>
      <rPr>
        <sz val="11"/>
        <color theme="1"/>
        <rFont val="맑은 고딕"/>
        <family val="2"/>
        <charset val="129"/>
      </rPr>
      <t>.</t>
    </r>
  </si>
  <si>
    <t>2. Niêm phong và ngăn chặn độ ẩm</t>
  </si>
  <si>
    <t>3. Tuân thủ thời gian ủ (Maturation)</t>
  </si>
  <si>
    <t>4. Nguyên tắc nhập trước xuất trước (FIFO)</t>
  </si>
  <si>
    <t>5. Làm ấm trước khi làm việc (Mùa đông)</t>
  </si>
  <si>
    <r>
      <t>L</t>
    </r>
    <r>
      <rPr>
        <b/>
        <sz val="11"/>
        <color theme="1"/>
        <rFont val="Arial"/>
        <family val="2"/>
      </rPr>
      <t>ư</t>
    </r>
    <r>
      <rPr>
        <b/>
        <sz val="11"/>
        <color theme="1"/>
        <rFont val="맑은 고딕"/>
        <family val="3"/>
        <charset val="129"/>
      </rPr>
      <t>u ý:</t>
    </r>
    <r>
      <rPr>
        <sz val="11"/>
        <color theme="1"/>
        <rFont val="맑은 고딕"/>
        <family val="2"/>
        <charset val="129"/>
      </rPr>
      <t xml:space="preserve"> Nếu tiếp xúc với nhiệt độ cao trên 30°C trong thời gian dài, hiện t</t>
    </r>
    <r>
      <rPr>
        <sz val="11"/>
        <color theme="1"/>
        <rFont val="Arial"/>
        <family val="2"/>
      </rPr>
      <t>ư</t>
    </r>
    <r>
      <rPr>
        <sz val="11"/>
        <color theme="1"/>
        <rFont val="맑은 고딕"/>
        <family val="2"/>
        <charset val="129"/>
      </rPr>
      <t xml:space="preserve">ợng </t>
    </r>
    <r>
      <rPr>
        <b/>
        <sz val="11"/>
        <color theme="1"/>
        <rFont val="맑은 고딕"/>
        <family val="3"/>
        <charset val="129"/>
      </rPr>
      <t/>
    </r>
    <phoneticPr fontId="2" type="noConversion"/>
  </si>
  <si>
    <r>
      <t>Duy trì niêm phong:</t>
    </r>
    <r>
      <rPr>
        <sz val="11"/>
        <color theme="1"/>
        <rFont val="맑은 고딕"/>
        <family val="2"/>
        <charset val="129"/>
      </rPr>
      <t xml:space="preserve"> Nếu độ ẩm xâm nhập, các bọt khí (Blister) sẽ xuất hiện trong quá </t>
    </r>
    <phoneticPr fontId="2" type="noConversion"/>
  </si>
  <si>
    <r>
      <t xml:space="preserve">   </t>
    </r>
    <r>
      <rPr>
        <b/>
        <sz val="11"/>
        <color theme="1"/>
        <rFont val="맑은 고딕"/>
        <family val="3"/>
        <charset val="129"/>
      </rPr>
      <t>đông kết sớm (Pre-gelation)</t>
    </r>
    <r>
      <rPr>
        <sz val="11"/>
        <color theme="1"/>
        <rFont val="맑은 고딕"/>
        <family val="2"/>
        <charset val="129"/>
      </rPr>
      <t xml:space="preserve"> sẽ xảy ra khiến tấm bị cứng lại tr</t>
    </r>
    <r>
      <rPr>
        <sz val="11"/>
        <color theme="1"/>
        <rFont val="Arial"/>
        <family val="2"/>
      </rPr>
      <t>ư</t>
    </r>
    <r>
      <rPr>
        <sz val="11"/>
        <color theme="1"/>
        <rFont val="맑은 고딕"/>
        <family val="2"/>
        <charset val="129"/>
      </rPr>
      <t xml:space="preserve">ớc khi tạo hình, dẫn </t>
    </r>
    <phoneticPr fontId="2" type="noConversion"/>
  </si>
  <si>
    <t xml:space="preserve">   đến sản phẩm lỗi.</t>
    <phoneticPr fontId="2" type="noConversion"/>
  </si>
  <si>
    <r>
      <t xml:space="preserve">    trình tạo hình. Do đó, các tấm còn d</t>
    </r>
    <r>
      <rPr>
        <sz val="11"/>
        <color theme="1"/>
        <rFont val="Arial"/>
        <family val="2"/>
      </rPr>
      <t>ư</t>
    </r>
    <r>
      <rPr>
        <sz val="11"/>
        <color theme="1"/>
        <rFont val="맑은 고딕"/>
        <family val="2"/>
        <charset val="129"/>
      </rPr>
      <t xml:space="preserve"> sau khi sử dụng phải đ</t>
    </r>
    <r>
      <rPr>
        <sz val="11"/>
        <color theme="1"/>
        <rFont val="Arial"/>
        <family val="2"/>
      </rPr>
      <t>ư</t>
    </r>
    <r>
      <rPr>
        <sz val="11"/>
        <color theme="1"/>
        <rFont val="맑은 고딕"/>
        <family val="2"/>
        <charset val="129"/>
      </rPr>
      <t xml:space="preserve">ợc niêm phong kín bằng </t>
    </r>
    <phoneticPr fontId="2" type="noConversion"/>
  </si>
  <si>
    <t xml:space="preserve">    màng nhôm chuyên dụng để ngăn không khí lọt vào.</t>
    <phoneticPr fontId="2" type="noConversion"/>
  </si>
  <si>
    <r>
      <t>Đảm bảo độ nhớt phù hợp:</t>
    </r>
    <r>
      <rPr>
        <sz val="11"/>
        <color theme="1"/>
        <rFont val="맑은 고딕"/>
        <family val="2"/>
        <charset val="129"/>
      </rPr>
      <t xml:space="preserve"> Để chất làm đặc (nh</t>
    </r>
    <r>
      <rPr>
        <sz val="11"/>
        <color theme="1"/>
        <rFont val="Arial"/>
        <family val="2"/>
      </rPr>
      <t>ư</t>
    </r>
    <r>
      <rPr>
        <sz val="11"/>
        <color theme="1"/>
        <rFont val="맑은 고딕"/>
        <family val="2"/>
        <charset val="129"/>
      </rPr>
      <t xml:space="preserve"> MgO) phản ứng đầy đủ và đạt đến độ </t>
    </r>
    <phoneticPr fontId="2" type="noConversion"/>
  </si>
  <si>
    <r>
      <t xml:space="preserve">    nhớt có thể chảy tốt trong khuôn, hãy đ</t>
    </r>
    <r>
      <rPr>
        <sz val="11"/>
        <color theme="1"/>
        <rFont val="Arial"/>
        <family val="2"/>
      </rPr>
      <t>ư</t>
    </r>
    <r>
      <rPr>
        <sz val="11"/>
        <color theme="1"/>
        <rFont val="맑은 고딕"/>
        <family val="2"/>
        <charset val="129"/>
      </rPr>
      <t>a vào sử dụng sau thời gian ủ thông th</t>
    </r>
    <r>
      <rPr>
        <sz val="11"/>
        <color theme="1"/>
        <rFont val="Arial"/>
        <family val="2"/>
      </rPr>
      <t>ư</t>
    </r>
    <r>
      <rPr>
        <sz val="11"/>
        <color theme="1"/>
        <rFont val="맑은 고딕"/>
        <family val="2"/>
        <charset val="129"/>
      </rPr>
      <t xml:space="preserve">ờng </t>
    </r>
    <phoneticPr fontId="2" type="noConversion"/>
  </si>
  <si>
    <t xml:space="preserve">    từ 18 đến 36 giờ.</t>
    <phoneticPr fontId="2" type="noConversion"/>
  </si>
  <si>
    <r>
      <t>Cảnh báo quá hạn:</t>
    </r>
    <r>
      <rPr>
        <sz val="11"/>
        <color theme="1"/>
        <rFont val="맑은 고딕"/>
        <family val="2"/>
        <charset val="129"/>
      </rPr>
      <t xml:space="preserve"> Nếu để quá lâu (th</t>
    </r>
    <r>
      <rPr>
        <sz val="11"/>
        <color theme="1"/>
        <rFont val="Arial"/>
        <family val="2"/>
      </rPr>
      <t>ư</t>
    </r>
    <r>
      <rPr>
        <sz val="11"/>
        <color theme="1"/>
        <rFont val="맑은 고딕"/>
        <family val="2"/>
        <charset val="129"/>
      </rPr>
      <t xml:space="preserve">ờng trên </t>
    </r>
    <r>
      <rPr>
        <b/>
        <sz val="11"/>
        <color theme="1"/>
        <rFont val="맑은 고딕"/>
        <family val="3"/>
        <charset val="129"/>
      </rPr>
      <t>2~3 tháng</t>
    </r>
    <r>
      <rPr>
        <sz val="11"/>
        <color theme="1"/>
        <rFont val="맑은 고딕"/>
        <family val="2"/>
        <charset val="129"/>
      </rPr>
      <t>), tính l</t>
    </r>
    <r>
      <rPr>
        <sz val="11"/>
        <color theme="1"/>
        <rFont val="Arial"/>
        <family val="2"/>
      </rPr>
      <t>ư</t>
    </r>
    <r>
      <rPr>
        <sz val="11"/>
        <color theme="1"/>
        <rFont val="맑은 고딕"/>
        <family val="2"/>
        <charset val="129"/>
      </rPr>
      <t>u động sẽ giảm, dẫn</t>
    </r>
    <phoneticPr fontId="2" type="noConversion"/>
  </si>
  <si>
    <t xml:space="preserve">    đến lỗi không điền đầy khuôn.</t>
    <phoneticPr fontId="2" type="noConversion"/>
  </si>
  <si>
    <r>
      <t>Kiểm tra ngày sản xuất:</t>
    </r>
    <r>
      <rPr>
        <sz val="11"/>
        <color theme="1"/>
        <rFont val="맑은 고딕"/>
        <family val="2"/>
        <charset val="129"/>
      </rPr>
      <t xml:space="preserve"> Phải tuân thủ nghiêm ngặt nguyên tắc FIFO, sử dụng những tấm </t>
    </r>
    <phoneticPr fontId="2" type="noConversion"/>
  </si>
  <si>
    <r>
      <t xml:space="preserve">    nhập kho tr</t>
    </r>
    <r>
      <rPr>
        <sz val="11"/>
        <color theme="1"/>
        <rFont val="Arial"/>
        <family val="2"/>
      </rPr>
      <t>ư</t>
    </r>
    <r>
      <rPr>
        <sz val="11"/>
        <color theme="1"/>
        <rFont val="맑은 고딕"/>
        <family val="2"/>
        <charset val="129"/>
      </rPr>
      <t>ớc. Những tấm bảo quản quá lâu sẽ bị giảm mạnh khả năng tạo hình.</t>
    </r>
    <phoneticPr fontId="2" type="noConversion"/>
  </si>
  <si>
    <r>
      <t>Thích nghi với nhiệt độ phòng:</t>
    </r>
    <r>
      <rPr>
        <sz val="11"/>
        <color theme="1"/>
        <rFont val="맑은 고딕"/>
        <family val="2"/>
        <charset val="129"/>
      </rPr>
      <t xml:space="preserve"> Tr</t>
    </r>
    <r>
      <rPr>
        <sz val="11"/>
        <color theme="1"/>
        <rFont val="Arial"/>
        <family val="2"/>
      </rPr>
      <t>ư</t>
    </r>
    <r>
      <rPr>
        <sz val="11"/>
        <color theme="1"/>
        <rFont val="맑은 고딕"/>
        <family val="2"/>
        <charset val="129"/>
      </rPr>
      <t xml:space="preserve">ớc khi làm việc khoảng </t>
    </r>
    <r>
      <rPr>
        <b/>
        <sz val="11"/>
        <color theme="1"/>
        <rFont val="맑은 고딕"/>
        <family val="3"/>
        <charset val="129"/>
      </rPr>
      <t>12~24 giờ</t>
    </r>
    <r>
      <rPr>
        <sz val="11"/>
        <color theme="1"/>
        <rFont val="맑은 고딕"/>
        <family val="2"/>
        <charset val="129"/>
      </rPr>
      <t xml:space="preserve">, nên chuyển tấm </t>
    </r>
    <phoneticPr fontId="2" type="noConversion"/>
  </si>
  <si>
    <r>
      <t xml:space="preserve">    SMC đến khu vực làm việc để ổn định nhiệt độ tr</t>
    </r>
    <r>
      <rPr>
        <sz val="11"/>
        <color theme="1"/>
        <rFont val="Arial"/>
        <family val="2"/>
      </rPr>
      <t>ư</t>
    </r>
    <r>
      <rPr>
        <sz val="11"/>
        <color theme="1"/>
        <rFont val="맑은 고딕"/>
        <family val="2"/>
        <charset val="129"/>
      </rPr>
      <t>ớc khi tiến hành tạo hình.</t>
    </r>
    <phoneticPr fontId="2" type="noConversion"/>
  </si>
  <si>
    <r>
      <t>H</t>
    </r>
    <r>
      <rPr>
        <b/>
        <sz val="20"/>
        <color theme="1"/>
        <rFont val="맑은 고딕"/>
        <family val="2"/>
        <charset val="129"/>
      </rPr>
      <t>ư</t>
    </r>
    <r>
      <rPr>
        <b/>
        <sz val="20"/>
        <color theme="1"/>
        <rFont val="맑은 고딕"/>
        <family val="3"/>
        <charset val="129"/>
      </rPr>
      <t>ớng dẫn Quản lý &amp; Bảo trì Máy SMC</t>
    </r>
  </si>
  <si>
    <t xml:space="preserve"> 1. SMC 닥터박스(D/B) 관리 가이드</t>
    <phoneticPr fontId="2" type="noConversion"/>
  </si>
  <si>
    <r>
      <t>1. H</t>
    </r>
    <r>
      <rPr>
        <b/>
        <sz val="14"/>
        <color theme="1"/>
        <rFont val="맑은 고딕"/>
        <family val="2"/>
        <charset val="129"/>
      </rPr>
      <t>ư</t>
    </r>
    <r>
      <rPr>
        <b/>
        <sz val="14"/>
        <color theme="1"/>
        <rFont val="맑은 고딕"/>
        <family val="3"/>
        <charset val="129"/>
      </rPr>
      <t>ớng dẫn quản lý Doctor Box (D/B)</t>
    </r>
  </si>
  <si>
    <t xml:space="preserve">  ① Vệ sinh sau khi kết thúc công việc (Daily Cleaning)</t>
    <phoneticPr fontId="2" type="noConversion"/>
  </si>
  <si>
    <t xml:space="preserve">   수지가 경화(굳음)되기 전에 닦아내는 것이 가장 중요합니다.</t>
    <phoneticPr fontId="2" type="noConversion"/>
  </si>
  <si>
    <r>
      <rPr>
        <b/>
        <sz val="12"/>
        <color theme="4" tint="-0.249977111117893"/>
        <rFont val="맑은 고딕"/>
        <family val="3"/>
        <charset val="129"/>
      </rPr>
      <t xml:space="preserve"> ①</t>
    </r>
    <r>
      <rPr>
        <b/>
        <sz val="11"/>
        <color theme="4" tint="-0.249977111117893"/>
        <rFont val="맑은 고딕"/>
        <family val="3"/>
        <charset val="129"/>
      </rPr>
      <t>작업 종료 후 청소 (Daily Cleaning)</t>
    </r>
    <phoneticPr fontId="2" type="noConversion"/>
  </si>
  <si>
    <t xml:space="preserve">   (bắt buộc dùng tay trần) để kiểm tra xem có chỗ nào bị thô ráp hoặc sứt mẻ không.</t>
    <phoneticPr fontId="2" type="noConversion"/>
  </si>
  <si>
    <r>
      <t xml:space="preserve">   vào vải cotton để lau sạch l</t>
    </r>
    <r>
      <rPr>
        <sz val="11"/>
        <color theme="1"/>
        <rFont val="Arial"/>
        <family val="2"/>
      </rPr>
      <t>ư</t>
    </r>
    <r>
      <rPr>
        <sz val="11"/>
        <color theme="1"/>
        <rFont val="맑은 고딕"/>
        <family val="2"/>
        <charset val="129"/>
      </rPr>
      <t>ỡi gạt (Blade) và mọi ngóc ngách bên trong hộp.</t>
    </r>
    <phoneticPr fontId="2" type="noConversion"/>
  </si>
  <si>
    <r>
      <t xml:space="preserve">  Doctor Box là bộ phận điều chỉnh độ dày thông qua nhựa và l</t>
    </r>
    <r>
      <rPr>
        <sz val="10"/>
        <color theme="1"/>
        <rFont val="Arial"/>
        <family val="2"/>
      </rPr>
      <t>ư</t>
    </r>
    <r>
      <rPr>
        <sz val="10"/>
        <color theme="1"/>
        <rFont val="맑은 고딕"/>
        <family val="2"/>
        <charset val="129"/>
      </rPr>
      <t xml:space="preserve">ỡi gạt (Blade). Nếu việc vệ sinh </t>
    </r>
    <phoneticPr fontId="2" type="noConversion"/>
  </si>
  <si>
    <r>
      <t xml:space="preserve">  và quản lý bị l</t>
    </r>
    <r>
      <rPr>
        <sz val="10"/>
        <color theme="1"/>
        <rFont val="Arial"/>
        <family val="2"/>
      </rPr>
      <t>ơ</t>
    </r>
    <r>
      <rPr>
        <sz val="10"/>
        <color theme="1"/>
        <rFont val="맑은 고딕"/>
        <family val="2"/>
        <charset val="129"/>
      </rPr>
      <t xml:space="preserve"> là, bề mặt sản phẩm sẽ bị lỗi ngay lập tức, vì vậy cần phải kiểm tra định kỳ.</t>
    </r>
    <phoneticPr fontId="2" type="noConversion"/>
  </si>
  <si>
    <r>
      <t xml:space="preserve">   </t>
    </r>
    <r>
      <rPr>
        <b/>
        <sz val="12"/>
        <color theme="4" tint="-0.249977111117893"/>
        <rFont val="맑은 고딕"/>
        <family val="2"/>
        <charset val="129"/>
      </rPr>
      <t>② Quản lý tập trung l</t>
    </r>
    <r>
      <rPr>
        <b/>
        <sz val="12"/>
        <color theme="4" tint="-0.249977111117893"/>
        <rFont val="Arial"/>
        <family val="2"/>
      </rPr>
      <t>ư</t>
    </r>
    <r>
      <rPr>
        <b/>
        <sz val="12"/>
        <color theme="4" tint="-0.249977111117893"/>
        <rFont val="맑은 고딕"/>
        <family val="2"/>
        <charset val="129"/>
      </rPr>
      <t>ỡi gạt</t>
    </r>
    <phoneticPr fontId="2" type="noConversion"/>
  </si>
  <si>
    <r>
      <t xml:space="preserve">   </t>
    </r>
    <r>
      <rPr>
        <b/>
        <sz val="11"/>
        <color theme="1"/>
        <rFont val="맑은 고딕"/>
        <family val="3"/>
        <charset val="129"/>
      </rPr>
      <t>Xả nhựa:</t>
    </r>
    <r>
      <rPr>
        <sz val="11"/>
        <color theme="1"/>
        <rFont val="맑은 고딕"/>
        <family val="2"/>
        <charset val="129"/>
      </rPr>
      <t xml:space="preserve"> Sau khi kết thúc công việc, hãy dọn sạch tối đa l</t>
    </r>
    <r>
      <rPr>
        <sz val="11"/>
        <color theme="1"/>
        <rFont val="Arial"/>
        <family val="2"/>
      </rPr>
      <t>ư</t>
    </r>
    <r>
      <rPr>
        <sz val="11"/>
        <color theme="1"/>
        <rFont val="맑은 고딕"/>
        <family val="2"/>
        <charset val="129"/>
      </rPr>
      <t>ợng nhựa còn sót lại bên trong hộp.</t>
    </r>
    <phoneticPr fontId="2" type="noConversion"/>
  </si>
  <si>
    <r>
      <rPr>
        <b/>
        <sz val="11"/>
        <color theme="1"/>
        <rFont val="맑은 고딕"/>
        <family val="3"/>
        <charset val="129"/>
      </rPr>
      <t xml:space="preserve">   Lần lau 1:</t>
    </r>
    <r>
      <rPr>
        <sz val="11"/>
        <color theme="1"/>
        <rFont val="맑은 고딕"/>
        <family val="2"/>
        <charset val="129"/>
      </rPr>
      <t xml:space="preserve"> Dùng dao cạo (Hera) để cạo bỏ nhựa dính trên bề mặt. Nếu là hộp inox, hãy </t>
    </r>
    <phoneticPr fontId="2" type="noConversion"/>
  </si>
  <si>
    <r>
      <t xml:space="preserve">   sử dụng dao cạo bằng nhựa hoặc đồng để tránh làm trầy x</t>
    </r>
    <r>
      <rPr>
        <sz val="11"/>
        <color theme="1"/>
        <rFont val="Arial"/>
        <family val="2"/>
      </rPr>
      <t>ư</t>
    </r>
    <r>
      <rPr>
        <sz val="11"/>
        <color theme="1"/>
        <rFont val="맑은 고딕"/>
        <family val="2"/>
        <charset val="129"/>
      </rPr>
      <t>ớc.</t>
    </r>
    <phoneticPr fontId="2" type="noConversion"/>
  </si>
  <si>
    <r>
      <t xml:space="preserve"> </t>
    </r>
    <r>
      <rPr>
        <b/>
        <sz val="11"/>
        <color theme="1"/>
        <rFont val="맑은 고딕"/>
        <family val="3"/>
        <charset val="129"/>
      </rPr>
      <t xml:space="preserve">  Sử dụng chất tẩy rửa:</t>
    </r>
    <r>
      <rPr>
        <sz val="11"/>
        <color theme="1"/>
        <rFont val="맑은 고딕"/>
        <family val="2"/>
        <charset val="129"/>
      </rPr>
      <t xml:space="preserve"> Thấm dung dịch tẩy rửa chuyên dụng cho nhựa hoặc axeton</t>
    </r>
    <phoneticPr fontId="2" type="noConversion"/>
  </si>
  <si>
    <r>
      <t xml:space="preserve">   Điều quan trọng nhất là phải lau sạch nhựa tr</t>
    </r>
    <r>
      <rPr>
        <sz val="11"/>
        <color theme="1"/>
        <rFont val="Arial"/>
        <family val="2"/>
      </rPr>
      <t>ư</t>
    </r>
    <r>
      <rPr>
        <sz val="11"/>
        <color theme="1"/>
        <rFont val="맑은 고딕"/>
        <family val="2"/>
        <charset val="129"/>
      </rPr>
      <t>ớc khi nó bị đông cứng.</t>
    </r>
    <phoneticPr fontId="2" type="noConversion"/>
  </si>
  <si>
    <r>
      <t xml:space="preserve">   </t>
    </r>
    <r>
      <rPr>
        <b/>
        <sz val="11"/>
        <color theme="1"/>
        <rFont val="맑은 고딕"/>
        <family val="3"/>
        <charset val="129"/>
      </rPr>
      <t>Kiểm tra cạnh l</t>
    </r>
    <r>
      <rPr>
        <b/>
        <sz val="11"/>
        <color theme="1"/>
        <rFont val="Arial"/>
        <family val="2"/>
      </rPr>
      <t>ư</t>
    </r>
    <r>
      <rPr>
        <b/>
        <sz val="11"/>
        <color theme="1"/>
        <rFont val="맑은 고딕"/>
        <family val="3"/>
        <charset val="129"/>
      </rPr>
      <t>ỡi (Edge):</t>
    </r>
    <r>
      <rPr>
        <sz val="11"/>
        <color theme="1"/>
        <rFont val="맑은 고딕"/>
        <family val="3"/>
        <charset val="129"/>
      </rPr>
      <t xml:space="preserve"> Khi vệ sinh, hãy dùng ngón tay chạm nhẹ vào cạnh l</t>
    </r>
    <r>
      <rPr>
        <sz val="11"/>
        <color theme="1"/>
        <rFont val="Arial"/>
        <family val="2"/>
      </rPr>
      <t>ư</t>
    </r>
    <r>
      <rPr>
        <sz val="11"/>
        <color theme="1"/>
        <rFont val="맑은 고딕"/>
        <family val="3"/>
        <charset val="129"/>
      </rPr>
      <t>ỡi</t>
    </r>
    <phoneticPr fontId="2" type="noConversion"/>
  </si>
  <si>
    <r>
      <t xml:space="preserve">   L</t>
    </r>
    <r>
      <rPr>
        <sz val="11"/>
        <color theme="1"/>
        <rFont val="Arial"/>
        <family val="2"/>
      </rPr>
      <t>ư</t>
    </r>
    <r>
      <rPr>
        <sz val="11"/>
        <color theme="1"/>
        <rFont val="맑은 고딕"/>
        <family val="3"/>
        <charset val="129"/>
      </rPr>
      <t>ỡi gạt là bộ phận cốt lõi của Doctor Box, rất nhạy cảm với các vật thể lạ hoặc h</t>
    </r>
    <r>
      <rPr>
        <sz val="11"/>
        <color theme="1"/>
        <rFont val="Arial"/>
        <family val="2"/>
      </rPr>
      <t>ư</t>
    </r>
    <r>
      <rPr>
        <sz val="11"/>
        <color theme="1"/>
        <rFont val="맑은 고딕"/>
        <family val="3"/>
        <charset val="129"/>
      </rPr>
      <t xml:space="preserve"> </t>
    </r>
    <phoneticPr fontId="2" type="noConversion"/>
  </si>
  <si>
    <t xml:space="preserve">   hỏng dù là nhỏ nhất.</t>
    <phoneticPr fontId="2" type="noConversion"/>
  </si>
  <si>
    <r>
      <t xml:space="preserve">   </t>
    </r>
    <r>
      <rPr>
        <b/>
        <sz val="12"/>
        <color theme="4" tint="-0.249977111117893"/>
        <rFont val="맑은 고딕"/>
        <family val="2"/>
        <charset val="129"/>
      </rPr>
      <t>③ Quản lý đệm kín (Dam)</t>
    </r>
    <phoneticPr fontId="2" type="noConversion"/>
  </si>
  <si>
    <t xml:space="preserve">   Đây là bộ phận ngăn nhựa rò rỉ ra hai bên.</t>
    <phoneticPr fontId="2" type="noConversion"/>
  </si>
  <si>
    <t xml:space="preserve">      이 부위가 지저분하면 필름이 지나가면서 찢어질 수 있으므로 매일 확인해야 합니다.</t>
    <phoneticPr fontId="2" type="noConversion"/>
  </si>
  <si>
    <r>
      <t xml:space="preserve">  </t>
    </r>
    <r>
      <rPr>
        <b/>
        <sz val="11"/>
        <color theme="1"/>
        <rFont val="맑은 고딕"/>
        <family val="3"/>
        <charset val="129"/>
      </rPr>
      <t xml:space="preserve"> 측면 댐 청소:</t>
    </r>
    <r>
      <rPr>
        <sz val="10"/>
        <color theme="1"/>
        <rFont val="맑은 고딕"/>
        <family val="3"/>
        <charset val="129"/>
      </rPr>
      <t xml:space="preserve"> 양옆 댐 부위 하단에 컴파운드가 굳거나 유리섬유 가루가 엉겨 붙어 굳는 경우가 많습니다. </t>
    </r>
    <phoneticPr fontId="2" type="noConversion"/>
  </si>
  <si>
    <t>1)원재료비</t>
    <phoneticPr fontId="39" type="noConversion"/>
  </si>
  <si>
    <t>품목</t>
    <phoneticPr fontId="39" type="noConversion"/>
  </si>
  <si>
    <t>단가적용</t>
    <phoneticPr fontId="39" type="noConversion"/>
  </si>
  <si>
    <t>비중</t>
    <phoneticPr fontId="39" type="noConversion"/>
  </si>
  <si>
    <t>물탱크</t>
    <phoneticPr fontId="39" type="noConversion"/>
  </si>
  <si>
    <t>물탱크2</t>
    <phoneticPr fontId="39" type="noConversion"/>
  </si>
  <si>
    <t>YSACC1</t>
    <phoneticPr fontId="39" type="noConversion"/>
  </si>
  <si>
    <t>Batch</t>
    <phoneticPr fontId="40" type="noConversion"/>
  </si>
  <si>
    <t>백분율</t>
    <phoneticPr fontId="39" type="noConversion"/>
  </si>
  <si>
    <t>1톤
배합량</t>
    <phoneticPr fontId="40" type="noConversion"/>
  </si>
  <si>
    <t>원재료비
(원/kg)</t>
    <phoneticPr fontId="39" type="noConversion"/>
  </si>
  <si>
    <t>phr
phf</t>
    <phoneticPr fontId="40" type="noConversion"/>
  </si>
  <si>
    <t>phr
phf</t>
    <phoneticPr fontId="40" type="noConversion"/>
  </si>
  <si>
    <t>백분율</t>
    <phoneticPr fontId="39" type="noConversion"/>
  </si>
  <si>
    <t>원재료비
(원/kg)</t>
    <phoneticPr fontId="39" type="noConversion"/>
  </si>
  <si>
    <t>phr
phf</t>
    <phoneticPr fontId="40" type="noConversion"/>
  </si>
  <si>
    <t>원재료비
(원/kg)</t>
    <phoneticPr fontId="39" type="noConversion"/>
  </si>
  <si>
    <t>불포화수지</t>
    <phoneticPr fontId="39" type="noConversion"/>
  </si>
  <si>
    <t>저수축제</t>
    <phoneticPr fontId="39" type="noConversion"/>
  </si>
  <si>
    <t>K972(분리방지제)</t>
    <phoneticPr fontId="39" type="noConversion"/>
  </si>
  <si>
    <t>K996(분산제)</t>
    <phoneticPr fontId="39" type="noConversion"/>
  </si>
  <si>
    <t>SM(희석제)</t>
    <phoneticPr fontId="39" type="noConversion"/>
  </si>
  <si>
    <t>CBA109N(중합방지제)</t>
    <phoneticPr fontId="39" type="noConversion"/>
  </si>
  <si>
    <t>T-BPB(경화제)</t>
    <phoneticPr fontId="39" type="noConversion"/>
  </si>
  <si>
    <t>FHP05040 (PE 파우더)</t>
    <phoneticPr fontId="40" type="noConversion"/>
  </si>
  <si>
    <t>ZN-ST(내부이형제)</t>
    <phoneticPr fontId="39" type="noConversion"/>
  </si>
  <si>
    <t>CaCO3(충진제)</t>
    <phoneticPr fontId="39" type="noConversion"/>
  </si>
  <si>
    <t>조색제</t>
    <phoneticPr fontId="39" type="noConversion"/>
  </si>
  <si>
    <t>유리섬유</t>
    <phoneticPr fontId="39" type="noConversion"/>
  </si>
  <si>
    <t xml:space="preserve">비중 </t>
    <phoneticPr fontId="39" type="noConversion"/>
  </si>
  <si>
    <t xml:space="preserve">비중 </t>
  </si>
  <si>
    <t>2)부재료비</t>
    <phoneticPr fontId="39" type="noConversion"/>
  </si>
  <si>
    <t>3)노무비</t>
    <phoneticPr fontId="39" type="noConversion"/>
  </si>
  <si>
    <t>4)제조경비</t>
    <phoneticPr fontId="39" type="noConversion"/>
  </si>
  <si>
    <t>5)합계</t>
    <phoneticPr fontId="39" type="noConversion"/>
  </si>
  <si>
    <t>품목</t>
    <phoneticPr fontId="39" type="noConversion"/>
  </si>
  <si>
    <t>금액</t>
    <phoneticPr fontId="39" type="noConversion"/>
  </si>
  <si>
    <t>1인월작업시간</t>
    <phoneticPr fontId="39" type="noConversion"/>
  </si>
  <si>
    <t>종합시급</t>
    <phoneticPr fontId="39" type="noConversion"/>
  </si>
  <si>
    <t>인원</t>
    <phoneticPr fontId="39" type="noConversion"/>
  </si>
  <si>
    <t>월 생산량(Kg)</t>
    <phoneticPr fontId="39" type="noConversion"/>
  </si>
  <si>
    <t>임금계</t>
    <phoneticPr fontId="39" type="noConversion"/>
  </si>
  <si>
    <t>노무비</t>
    <phoneticPr fontId="39" type="noConversion"/>
  </si>
  <si>
    <t>월소요량(원)</t>
    <phoneticPr fontId="39" type="noConversion"/>
  </si>
  <si>
    <t>재료비</t>
    <phoneticPr fontId="39" type="noConversion"/>
  </si>
  <si>
    <t>제조경비
(감가비 포함)</t>
    <phoneticPr fontId="39" type="noConversion"/>
  </si>
  <si>
    <t>소량생산비
(기술비)</t>
    <phoneticPr fontId="39" type="noConversion"/>
  </si>
  <si>
    <t>합계</t>
    <phoneticPr fontId="39" type="noConversion"/>
  </si>
  <si>
    <t>케리어필름</t>
    <phoneticPr fontId="40" type="noConversion"/>
  </si>
  <si>
    <t>CPP필름</t>
    <phoneticPr fontId="39" type="noConversion"/>
  </si>
  <si>
    <t>전기료, 난방비</t>
    <phoneticPr fontId="39" type="noConversion"/>
  </si>
  <si>
    <t>UV차단필름</t>
    <phoneticPr fontId="40" type="noConversion"/>
  </si>
  <si>
    <t>알루미늄, 30미크론</t>
    <phoneticPr fontId="39" type="noConversion"/>
  </si>
  <si>
    <t>◎노무비 참고사항</t>
    <phoneticPr fontId="39" type="noConversion"/>
  </si>
  <si>
    <t>폐자재비</t>
    <phoneticPr fontId="39" type="noConversion"/>
  </si>
  <si>
    <t>테이프 외</t>
    <phoneticPr fontId="39" type="noConversion"/>
  </si>
  <si>
    <t>①작업인원 : 6명(@198)</t>
    <phoneticPr fontId="39" type="noConversion"/>
  </si>
  <si>
    <t>②1인 월 작업시간 : 198시간/월(22일, 1일 9시간)</t>
    <phoneticPr fontId="39" type="noConversion"/>
  </si>
  <si>
    <t>환경부담비</t>
    <phoneticPr fontId="39" type="noConversion"/>
  </si>
  <si>
    <t>부재료비 계</t>
    <phoneticPr fontId="39" type="noConversion"/>
  </si>
  <si>
    <t>③환경부담비 : 3.85*85원= 327.25만원/월</t>
    <phoneticPr fontId="39" type="noConversion"/>
  </si>
  <si>
    <t>보수유지비</t>
    <phoneticPr fontId="39" type="noConversion"/>
  </si>
  <si>
    <t>시트설비감가비</t>
    <phoneticPr fontId="39" type="noConversion"/>
  </si>
  <si>
    <t>CBU-813(증점제)</t>
    <phoneticPr fontId="39" type="noConversion"/>
  </si>
  <si>
    <t xml:space="preserve">전체 비중 </t>
    <phoneticPr fontId="39" type="noConversion"/>
  </si>
  <si>
    <t xml:space="preserve">컴파운드 비중 </t>
    <phoneticPr fontId="39" type="noConversion"/>
  </si>
  <si>
    <t>YSACC2</t>
    <phoneticPr fontId="39" type="noConversion"/>
  </si>
  <si>
    <t>SMC MACHINE SETTING PROGRAM(IDEAL)</t>
    <phoneticPr fontId="53" type="noConversion"/>
  </si>
  <si>
    <t>Raw material for SMC Production(MANHOLE C250)</t>
    <phoneticPr fontId="56" type="noConversion"/>
  </si>
  <si>
    <t>SMC</t>
    <phoneticPr fontId="53" type="noConversion"/>
  </si>
  <si>
    <t>ITEM</t>
    <phoneticPr fontId="58" type="noConversion"/>
  </si>
  <si>
    <t>PART NAME</t>
    <phoneticPr fontId="58" type="noConversion"/>
  </si>
  <si>
    <t>Density
(g/cm3)</t>
    <phoneticPr fontId="53" type="noConversion"/>
  </si>
  <si>
    <t>Parts Wt(KG)</t>
    <phoneticPr fontId="58" type="noConversion"/>
  </si>
  <si>
    <t>WT %</t>
    <phoneticPr fontId="53" type="noConversion"/>
  </si>
  <si>
    <t>Volume(Liters)</t>
    <phoneticPr fontId="53" type="noConversion"/>
  </si>
  <si>
    <t>Vol %</t>
    <phoneticPr fontId="53" type="noConversion"/>
  </si>
  <si>
    <t>PHR</t>
    <phoneticPr fontId="58" type="noConversion"/>
  </si>
  <si>
    <t>Main Machine Belt Speed</t>
    <phoneticPr fontId="53" type="noConversion"/>
  </si>
  <si>
    <t>M/Min</t>
    <phoneticPr fontId="53" type="noConversion"/>
  </si>
  <si>
    <t>Resin</t>
    <phoneticPr fontId="56" type="noConversion"/>
  </si>
  <si>
    <t>VUP-6737</t>
    <phoneticPr fontId="58" type="noConversion"/>
  </si>
  <si>
    <t>LPA</t>
    <phoneticPr fontId="56" type="noConversion"/>
  </si>
  <si>
    <t>JP-30 LPA</t>
    <phoneticPr fontId="58" type="noConversion"/>
  </si>
  <si>
    <t>Basic parametor setting</t>
    <phoneticPr fontId="53" type="noConversion"/>
  </si>
  <si>
    <t>STYRENE MONOMER</t>
    <phoneticPr fontId="58" type="noConversion"/>
  </si>
  <si>
    <t>SM</t>
    <phoneticPr fontId="58" type="noConversion"/>
  </si>
  <si>
    <t>SMC Paste Matric Specific Gravity</t>
    <phoneticPr fontId="53" type="noConversion"/>
  </si>
  <si>
    <t>Kg/M3</t>
    <phoneticPr fontId="53" type="noConversion"/>
  </si>
  <si>
    <t>Tbpb (T-Butyle Perbenzoate)</t>
    <phoneticPr fontId="56" type="noConversion"/>
  </si>
  <si>
    <t>TBPB</t>
    <phoneticPr fontId="58" type="noConversion"/>
  </si>
  <si>
    <t>SMC Carrier film(thickness)</t>
    <phoneticPr fontId="53" type="noConversion"/>
  </si>
  <si>
    <t>mm</t>
    <phoneticPr fontId="53" type="noConversion"/>
  </si>
  <si>
    <t>Zinc stearate</t>
    <phoneticPr fontId="58" type="noConversion"/>
  </si>
  <si>
    <t>HI-FLOW-GP(Zn-ST)</t>
    <phoneticPr fontId="58" type="noConversion"/>
  </si>
  <si>
    <t>SMC width</t>
    <phoneticPr fontId="53" type="noConversion"/>
  </si>
  <si>
    <t>Color pigment</t>
    <phoneticPr fontId="53" type="noConversion"/>
  </si>
  <si>
    <t>HW-Gray</t>
    <phoneticPr fontId="58" type="noConversion"/>
  </si>
  <si>
    <t>rheology modifier</t>
    <phoneticPr fontId="58" type="noConversion"/>
  </si>
  <si>
    <t>CBA-308</t>
    <phoneticPr fontId="53" type="noConversion"/>
  </si>
  <si>
    <t>SMC UNIT WEIGHT</t>
    <phoneticPr fontId="53" type="noConversion"/>
  </si>
  <si>
    <t>g/M2</t>
    <phoneticPr fontId="53" type="noConversion"/>
  </si>
  <si>
    <t>PE POWDER</t>
    <phoneticPr fontId="53" type="noConversion"/>
  </si>
  <si>
    <t>FHP05040</t>
    <phoneticPr fontId="53" type="noConversion"/>
  </si>
  <si>
    <t>GLASS CONTENTS</t>
    <phoneticPr fontId="53" type="noConversion"/>
  </si>
  <si>
    <t>PBQ(Inhibitor)</t>
    <phoneticPr fontId="56" type="noConversion"/>
  </si>
  <si>
    <t>CBA-109N</t>
    <phoneticPr fontId="58" type="noConversion"/>
  </si>
  <si>
    <t>Dispersing Agent</t>
    <phoneticPr fontId="53" type="noConversion"/>
  </si>
  <si>
    <t>BYK W972</t>
    <phoneticPr fontId="53" type="noConversion"/>
  </si>
  <si>
    <t>SMC Paste weight without Glass</t>
    <phoneticPr fontId="53" type="noConversion"/>
  </si>
  <si>
    <t>Wetting &amp; Dispersing Agent</t>
    <phoneticPr fontId="53" type="noConversion"/>
  </si>
  <si>
    <t>BYK W996</t>
    <phoneticPr fontId="58" type="noConversion"/>
  </si>
  <si>
    <t>Caco3</t>
    <phoneticPr fontId="56" type="noConversion"/>
  </si>
  <si>
    <t>Calcum carbonate</t>
    <phoneticPr fontId="58" type="noConversion"/>
  </si>
  <si>
    <t>1st Doctor Blade Height(Lower)</t>
    <phoneticPr fontId="53" type="noConversion"/>
  </si>
  <si>
    <t>ON</t>
  </si>
  <si>
    <t>MgO Paste</t>
    <phoneticPr fontId="56" type="noConversion"/>
  </si>
  <si>
    <t>CBU-613</t>
    <phoneticPr fontId="53" type="noConversion"/>
  </si>
  <si>
    <t>2nd Doctor Blade Height(Upper)</t>
    <phoneticPr fontId="53" type="noConversion"/>
  </si>
  <si>
    <t>Glass</t>
    <phoneticPr fontId="56" type="noConversion"/>
  </si>
  <si>
    <t>JUSHI 442K</t>
    <phoneticPr fontId="53" type="noConversion"/>
  </si>
  <si>
    <t>SMC WEIGHT Based on Width</t>
    <phoneticPr fontId="53" type="noConversion"/>
  </si>
  <si>
    <t>g/ (1M x</t>
    <phoneticPr fontId="53" type="noConversion"/>
  </si>
  <si>
    <t>M)</t>
    <phoneticPr fontId="53" type="noConversion"/>
  </si>
  <si>
    <t>MATRICS Total</t>
    <phoneticPr fontId="58" type="noConversion"/>
  </si>
  <si>
    <t>SMC Total</t>
    <phoneticPr fontId="58" type="noConversion"/>
  </si>
  <si>
    <t>GLASS Weight</t>
    <phoneticPr fontId="53" type="noConversion"/>
  </si>
  <si>
    <t>g/SMC Width</t>
    <phoneticPr fontId="53" type="noConversion"/>
  </si>
  <si>
    <t>g/SMC Width</t>
    <phoneticPr fontId="53" type="noConversion"/>
  </si>
  <si>
    <t>200x200mm SMC WT</t>
    <phoneticPr fontId="53" type="noConversion"/>
  </si>
  <si>
    <t>g</t>
    <phoneticPr fontId="53" type="noConversion"/>
  </si>
  <si>
    <t>Matrix</t>
    <phoneticPr fontId="53" type="noConversion"/>
  </si>
  <si>
    <t>200x200mm GLASS WT</t>
    <phoneticPr fontId="53" type="noConversion"/>
  </si>
  <si>
    <t>Glass</t>
    <phoneticPr fontId="53" type="noConversion"/>
  </si>
  <si>
    <t>200x200mm PASTE WT</t>
    <phoneticPr fontId="53" type="noConversion"/>
  </si>
  <si>
    <t>1st Glass Cutter</t>
    <phoneticPr fontId="53" type="noConversion"/>
  </si>
  <si>
    <t>1st Glass Tex</t>
    <phoneticPr fontId="53" type="noConversion"/>
  </si>
  <si>
    <t>TEX</t>
    <phoneticPr fontId="53" type="noConversion"/>
  </si>
  <si>
    <t>g</t>
    <phoneticPr fontId="53" type="noConversion"/>
  </si>
  <si>
    <t>/</t>
    <phoneticPr fontId="53" type="noConversion"/>
  </si>
  <si>
    <t>1st Cutted glass size</t>
    <phoneticPr fontId="53" type="noConversion"/>
  </si>
  <si>
    <t>(inch)</t>
    <phoneticPr fontId="53" type="noConversion"/>
  </si>
  <si>
    <t>Nos of Suppying Glass Rovings(1st Cutter) :</t>
    <phoneticPr fontId="53" type="noConversion"/>
  </si>
  <si>
    <t>(Default : 32)</t>
    <phoneticPr fontId="53" type="noConversion"/>
  </si>
  <si>
    <t>Nos of roving cutter(1st) :</t>
    <phoneticPr fontId="53" type="noConversion"/>
  </si>
  <si>
    <t>(Default : 24)</t>
    <phoneticPr fontId="53" type="noConversion"/>
  </si>
  <si>
    <t>2nd Glass Cutter</t>
    <phoneticPr fontId="53" type="noConversion"/>
  </si>
  <si>
    <t>OFF</t>
  </si>
  <si>
    <t>2nd Glass Tex</t>
    <phoneticPr fontId="53" type="noConversion"/>
  </si>
  <si>
    <t>/</t>
    <phoneticPr fontId="53" type="noConversion"/>
  </si>
  <si>
    <t>mm</t>
    <phoneticPr fontId="53" type="noConversion"/>
  </si>
  <si>
    <t>2nd Cutted glass size</t>
    <phoneticPr fontId="53" type="noConversion"/>
  </si>
  <si>
    <t>(inch)</t>
    <phoneticPr fontId="53" type="noConversion"/>
  </si>
  <si>
    <t>Nos of Suppying Glass Rovings(2nd Cutter) :</t>
    <phoneticPr fontId="53" type="noConversion"/>
  </si>
  <si>
    <t>(Default : 32)</t>
    <phoneticPr fontId="53" type="noConversion"/>
  </si>
  <si>
    <t>Nos of roving cutter :</t>
    <phoneticPr fontId="53" type="noConversion"/>
  </si>
  <si>
    <t>(Default : 24)</t>
    <phoneticPr fontId="53" type="noConversion"/>
  </si>
  <si>
    <t>3rd Direct Roving</t>
    <phoneticPr fontId="53" type="noConversion"/>
  </si>
  <si>
    <t>3nd Glass Tex</t>
    <phoneticPr fontId="53" type="noConversion"/>
  </si>
  <si>
    <t>Nos of Direct roving</t>
    <phoneticPr fontId="53" type="noConversion"/>
  </si>
  <si>
    <t>(PCS)</t>
    <phoneticPr fontId="53" type="noConversion"/>
  </si>
  <si>
    <t>g</t>
    <phoneticPr fontId="53" type="noConversion"/>
  </si>
  <si>
    <t>/</t>
    <phoneticPr fontId="53" type="noConversion"/>
  </si>
  <si>
    <t>4th Woven Roving</t>
    <phoneticPr fontId="53" type="noConversion"/>
  </si>
  <si>
    <t>g/M2</t>
    <phoneticPr fontId="53" type="noConversion"/>
  </si>
  <si>
    <t>g</t>
    <phoneticPr fontId="53" type="noConversion"/>
  </si>
  <si>
    <t>mm</t>
    <phoneticPr fontId="53" type="noConversion"/>
  </si>
  <si>
    <t>1. Glass weight for 1st cutter</t>
    <phoneticPr fontId="53" type="noConversion"/>
  </si>
  <si>
    <t>M</t>
    <phoneticPr fontId="53" type="noConversion"/>
  </si>
  <si>
    <t>2. Glass weight for 2nd cutter</t>
    <phoneticPr fontId="53" type="noConversion"/>
  </si>
  <si>
    <t>3. Glass weight for 3rd Direct Roving</t>
    <phoneticPr fontId="53" type="noConversion"/>
  </si>
  <si>
    <t>4. Glass weight for 4th Woven Roving</t>
    <phoneticPr fontId="53" type="noConversion"/>
  </si>
  <si>
    <t>M</t>
    <phoneticPr fontId="53" type="noConversion"/>
  </si>
  <si>
    <t>Total Glass Weight</t>
    <phoneticPr fontId="53" type="noConversion"/>
  </si>
  <si>
    <t>CM</t>
    <phoneticPr fontId="53" type="noConversion"/>
  </si>
  <si>
    <t>1st Doctor Blade Height(Lower)</t>
    <phoneticPr fontId="53" type="noConversion"/>
  </si>
  <si>
    <t>mm</t>
    <phoneticPr fontId="53" type="noConversion"/>
  </si>
  <si>
    <r>
      <rPr>
        <sz val="11"/>
        <color theme="1"/>
        <rFont val="맑은 고딕"/>
        <family val="2"/>
        <charset val="129"/>
      </rPr>
      <t>폭</t>
    </r>
    <phoneticPr fontId="53" type="noConversion"/>
  </si>
  <si>
    <r>
      <rPr>
        <sz val="11"/>
        <color theme="1"/>
        <rFont val="맑은 고딕"/>
        <family val="2"/>
        <charset val="129"/>
      </rPr>
      <t>세로</t>
    </r>
    <phoneticPr fontId="53" type="noConversion"/>
  </si>
  <si>
    <r>
      <rPr>
        <sz val="11"/>
        <color theme="1"/>
        <rFont val="맑은 고딕"/>
        <family val="2"/>
        <charset val="129"/>
      </rPr>
      <t>비중</t>
    </r>
    <phoneticPr fontId="53" type="noConversion"/>
  </si>
  <si>
    <r>
      <rPr>
        <sz val="11"/>
        <color theme="1"/>
        <rFont val="맑은 고딕"/>
        <family val="2"/>
        <charset val="129"/>
      </rPr>
      <t>높이</t>
    </r>
    <phoneticPr fontId="53" type="noConversion"/>
  </si>
  <si>
    <t>(F23/(F10*1000*F8)*1000+F9)</t>
  </si>
  <si>
    <t>2nd Doctor Blade Height(Upper)</t>
    <phoneticPr fontId="53" type="noConversion"/>
  </si>
  <si>
    <t>?</t>
    <phoneticPr fontId="53" type="noConversion"/>
  </si>
  <si>
    <t>=3.38/(1.33*1.175*1)</t>
    <phoneticPr fontId="53" type="noConversion"/>
  </si>
  <si>
    <r>
      <rPr>
        <sz val="11"/>
        <color theme="1"/>
        <rFont val="맑은 고딕"/>
        <family val="2"/>
        <charset val="129"/>
      </rPr>
      <t>비중</t>
    </r>
    <phoneticPr fontId="53" type="noConversion"/>
  </si>
  <si>
    <r>
      <rPr>
        <sz val="11"/>
        <color theme="1"/>
        <rFont val="맑은 고딕"/>
        <family val="2"/>
        <charset val="129"/>
      </rPr>
      <t>가로</t>
    </r>
    <phoneticPr fontId="53" type="noConversion"/>
  </si>
  <si>
    <r>
      <rPr>
        <sz val="11"/>
        <color theme="1"/>
        <rFont val="맑은 고딕"/>
        <family val="2"/>
        <charset val="129"/>
      </rPr>
      <t>높이</t>
    </r>
    <r>
      <rPr>
        <sz val="11"/>
        <color theme="1"/>
        <rFont val="Tahoma"/>
        <family val="2"/>
      </rPr>
      <t xml:space="preserve"> </t>
    </r>
    <phoneticPr fontId="53" type="noConversion"/>
  </si>
  <si>
    <r>
      <rPr>
        <sz val="11"/>
        <color theme="1"/>
        <rFont val="맑은 고딕"/>
        <family val="2"/>
        <charset val="129"/>
      </rPr>
      <t>중량</t>
    </r>
    <phoneticPr fontId="53" type="noConversion"/>
  </si>
  <si>
    <t>(F23/1000)/(F10*(F8/1000)+F9)</t>
    <phoneticPr fontId="53" type="noConversion"/>
  </si>
  <si>
    <t>1st Glass Roving Cutter RPM(Lower)</t>
    <phoneticPr fontId="53" type="noConversion"/>
  </si>
  <si>
    <t>RPM(Rounds /  Min)</t>
    <phoneticPr fontId="53" type="noConversion"/>
  </si>
  <si>
    <t>cm</t>
    <phoneticPr fontId="53" type="noConversion"/>
  </si>
  <si>
    <t>2nd Glass Roving Cutter RPM(Lower)</t>
    <phoneticPr fontId="53" type="noConversion"/>
  </si>
  <si>
    <t>RPM(Rounds /  Min)</t>
    <phoneticPr fontId="53" type="noConversion"/>
  </si>
  <si>
    <t>Glass TEX</t>
    <phoneticPr fontId="53" type="noConversion"/>
  </si>
  <si>
    <t>Inch</t>
    <phoneticPr fontId="53" type="noConversion"/>
  </si>
  <si>
    <t>ON</t>
    <phoneticPr fontId="53" type="noConversion"/>
  </si>
  <si>
    <t>OFF</t>
    <phoneticPr fontId="53" type="noConversion"/>
  </si>
  <si>
    <t xml:space="preserve"> 가장 양이 많고 기초가 되는 액체들을 먼저 섞습니다.</t>
    <phoneticPr fontId="2" type="noConversion"/>
  </si>
  <si>
    <t>수지의 안정성과 분산력을 높이는 성분들을 넣습니다.</t>
  </si>
  <si>
    <t>3단계: 경화제 투입 (Initiator)</t>
    <phoneticPr fontId="2" type="noConversion"/>
  </si>
  <si>
    <t>5단계: 충진제 대량 투입 (Main Filler)</t>
    <phoneticPr fontId="2" type="noConversion"/>
  </si>
  <si>
    <t xml:space="preserve">   투입 원료: ZN-ST(내부이형제) + FHP05040(PE 파우더)</t>
    <phoneticPr fontId="2" type="noConversion"/>
  </si>
  <si>
    <t xml:space="preserve">   투입 원료: T-BPB(경화제)</t>
    <phoneticPr fontId="2" type="noConversion"/>
  </si>
  <si>
    <t xml:space="preserve">    투입 원료: 불포화수지 + 저수축제 + SM(희석제)</t>
    <phoneticPr fontId="2" type="noConversion"/>
  </si>
  <si>
    <t>투입 원료: CaCO3(충진제)</t>
  </si>
  <si>
    <t>전체 배합량의 40%를 차지하므로, 2~3회에 나누어 넣으면서 고속 교반합니다.</t>
  </si>
  <si>
    <t xml:space="preserve">     *점도 검사전 시료가 담긴 컵 혹은 병을 수차레 테이블에 두드릅니다.(태핑)</t>
    <phoneticPr fontId="2" type="noConversion"/>
  </si>
  <si>
    <r>
      <t>교반 제어:</t>
    </r>
    <r>
      <rPr>
        <sz val="11"/>
        <color theme="1"/>
        <rFont val="맑은 고딕"/>
        <family val="3"/>
        <charset val="129"/>
        <scheme val="minor"/>
      </rPr>
      <t xml:space="preserve"> 지정된 RPM으로 교반하되, 고속 교반 시 발생하는 마찰열이 과도하게 발생 하지 않도록 주의합니다.</t>
    </r>
    <phoneticPr fontId="2" type="noConversion"/>
  </si>
  <si>
    <r>
      <t>초기 점도 검사:</t>
    </r>
    <r>
      <rPr>
        <sz val="11"/>
        <color theme="1"/>
        <rFont val="맑은 고딕"/>
        <family val="3"/>
        <charset val="129"/>
        <scheme val="minor"/>
      </rPr>
      <t xml:space="preserve"> 배합 직후 점도를 측정하여 레시피 준수 여부를 최종 판정합니다. (예150P/35℃)</t>
    </r>
    <phoneticPr fontId="2" type="noConversion"/>
  </si>
  <si>
    <t>2. 시트 제조 및 유리섬유 투입 (Sheet Producion)</t>
    <phoneticPr fontId="2" type="noConversion"/>
  </si>
  <si>
    <t>시트 검사 : 제조 로트마다 단중, 함침성, 폭, 두께 등을 검사해 데이터화 합니다.</t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</si>
  <si>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 xml:space="preserve">   말기점도검사 :</t>
    </r>
    <r>
      <rPr>
        <sz val="11"/>
        <color theme="1"/>
        <rFont val="맑은 고딕"/>
        <family val="3"/>
        <charset val="129"/>
        <scheme val="minor"/>
      </rPr>
      <t xml:space="preserve"> 설계 점도에 따른 숙성 점도 확인 데이터 화 합니다.</t>
    </r>
    <phoneticPr fontId="2" type="noConversion"/>
  </si>
  <si>
    <t>물리적 형상 구현 및 GF(유리섬유) 함량을 제어하는 단계입니다.</t>
    <phoneticPr fontId="2" type="noConversion"/>
  </si>
  <si>
    <t>■ 시트 제조 (Production)</t>
    <phoneticPr fontId="2" type="noConversion"/>
  </si>
  <si>
    <r>
      <t xml:space="preserve">   </t>
    </r>
    <r>
      <rPr>
        <b/>
        <sz val="11"/>
        <color theme="1"/>
        <rFont val="맑은 고딕"/>
        <family val="3"/>
        <charset val="129"/>
      </rPr>
      <t>SMC 기계 투입:</t>
    </r>
    <r>
      <rPr>
        <sz val="11"/>
        <color theme="1"/>
        <rFont val="맑은 고딕"/>
        <family val="2"/>
        <charset val="129"/>
      </rPr>
      <t xml:space="preserve"> 펌프 토출 압력, 레진, 증점제 및 착색제 정량 확인을 실시합니다.</t>
    </r>
    <phoneticPr fontId="2" type="noConversion"/>
  </si>
  <si>
    <r>
      <rPr>
        <b/>
        <sz val="11"/>
        <color theme="1"/>
        <rFont val="맑은 고딕"/>
        <family val="2"/>
        <charset val="129"/>
      </rPr>
      <t xml:space="preserve">   </t>
    </r>
    <r>
      <rPr>
        <b/>
        <sz val="11"/>
        <color theme="1"/>
        <rFont val="맑은 고딕"/>
        <family val="3"/>
        <charset val="129"/>
      </rPr>
      <t>닥터박스 도포:</t>
    </r>
    <r>
      <rPr>
        <sz val="11"/>
        <color theme="1"/>
        <rFont val="맑은 고딕"/>
        <family val="2"/>
        <charset val="129"/>
      </rPr>
      <t xml:space="preserve"> 닥터박스 높이(Gap)를 정밀 조정하고 수지 도포 두께 및 흐름의 균일성을 상시 확인합니다.</t>
    </r>
    <phoneticPr fontId="2" type="noConversion"/>
  </si>
  <si>
    <t>■ 유리섬유(GF) 투입</t>
    <phoneticPr fontId="2" type="noConversion"/>
  </si>
  <si>
    <t>*상시 점검 : 상/하부 필름 공급 롤의 텐션 브레이크(Tension Brake) 압력을 확인하여 필름이 팽팽하게 유지되는지 체크합니다.</t>
    <phoneticPr fontId="2" type="noConversion"/>
  </si>
  <si>
    <t>*필름 가장자리가 말리거나 주름이 생기면 즉시 수평 가이드를 재세팅합니다.</t>
    <phoneticPr fontId="2" type="noConversion"/>
  </si>
  <si>
    <t>제품 설계 강도에 맞게 유리섬유가 균일하게 도포되는지 확인하는 과정입니다.</t>
  </si>
  <si>
    <r>
      <t xml:space="preserve">   </t>
    </r>
    <r>
      <rPr>
        <b/>
        <sz val="11"/>
        <color theme="1"/>
        <rFont val="맑은 고딕"/>
        <family val="3"/>
        <charset val="129"/>
      </rPr>
      <t>커터 속도 동기화:</t>
    </r>
    <r>
      <rPr>
        <sz val="11"/>
        <color theme="1"/>
        <rFont val="맑은 고딕"/>
        <family val="2"/>
        <charset val="129"/>
      </rPr>
      <t xml:space="preserve"> 라인 속도(m/min)와 커터 회전수(RPM)가 연동되어 설정된 %값(예: 25%, 30%)에 맞게 투입되는지 상시 모니터링합니다.</t>
    </r>
    <phoneticPr fontId="2" type="noConversion"/>
  </si>
  <si>
    <r>
      <rPr>
        <b/>
        <sz val="11"/>
        <color theme="1"/>
        <rFont val="맑은 고딕"/>
        <family val="2"/>
        <charset val="129"/>
      </rPr>
      <t xml:space="preserve">   </t>
    </r>
    <r>
      <rPr>
        <b/>
        <sz val="11"/>
        <color theme="1"/>
        <rFont val="맑은 고딕"/>
        <family val="3"/>
        <charset val="129"/>
      </rPr>
      <t>도포 폭 확인:</t>
    </r>
    <r>
      <rPr>
        <sz val="11"/>
        <color theme="1"/>
        <rFont val="맑은 고딕"/>
        <family val="2"/>
        <charset val="129"/>
      </rPr>
      <t xml:space="preserve"> 유리섬유가 시트 전체 폭에 걸쳐 빈 곳 없이 골고루 퍼지는지 확인합니다. (가장자리 부족 현상 주의)</t>
    </r>
    <phoneticPr fontId="2" type="noConversion"/>
  </si>
  <si>
    <r>
      <t xml:space="preserve">   </t>
    </r>
    <r>
      <rPr>
        <b/>
        <sz val="11"/>
        <color theme="1"/>
        <rFont val="맑은 고딕"/>
        <family val="3"/>
        <charset val="129"/>
      </rPr>
      <t>실측 검사(중량법):</t>
    </r>
    <r>
      <rPr>
        <sz val="11"/>
        <color theme="1"/>
        <rFont val="맑은 고딕"/>
        <family val="2"/>
        <charset val="129"/>
      </rPr>
      <t xml:space="preserve"> 매 배치 초기와 중간에 일정 면적의 시트를 채취하여 [전체 중량 - 수지 중량 = 유리섬유 중량]을 계산해 실제 투입 %를 역산합니다.</t>
    </r>
    <phoneticPr fontId="2" type="noConversion"/>
  </si>
  <si>
    <t>1. 기본 사항</t>
    <phoneticPr fontId="39" type="noConversion"/>
  </si>
  <si>
    <t>품명</t>
    <phoneticPr fontId="39" type="noConversion"/>
  </si>
  <si>
    <t>배합작업자</t>
    <phoneticPr fontId="39" type="noConversion"/>
  </si>
  <si>
    <t>생산 Batch</t>
    <phoneticPr fontId="39" type="noConversion"/>
  </si>
  <si>
    <t>Batch</t>
    <phoneticPr fontId="39" type="noConversion"/>
  </si>
  <si>
    <t>Lot No</t>
    <phoneticPr fontId="39" type="noConversion"/>
  </si>
  <si>
    <t>배합시간</t>
    <phoneticPr fontId="39" type="noConversion"/>
  </si>
  <si>
    <t>생산량</t>
    <phoneticPr fontId="39" type="noConversion"/>
  </si>
  <si>
    <t>2. 배합 순서 및 확인 사항</t>
    <phoneticPr fontId="39" type="noConversion"/>
  </si>
  <si>
    <t>순번</t>
    <phoneticPr fontId="39" type="noConversion"/>
  </si>
  <si>
    <t>규격</t>
    <phoneticPr fontId="39" type="noConversion"/>
  </si>
  <si>
    <t>비고</t>
    <phoneticPr fontId="39" type="noConversion"/>
  </si>
  <si>
    <t>SM</t>
    <phoneticPr fontId="39" type="noConversion"/>
  </si>
  <si>
    <t>FHP</t>
    <phoneticPr fontId="39" type="noConversion"/>
  </si>
  <si>
    <t>HI-FLOW</t>
    <phoneticPr fontId="39" type="noConversion"/>
  </si>
  <si>
    <t>S-3000</t>
    <phoneticPr fontId="39" type="noConversion"/>
  </si>
  <si>
    <t>MGO-813</t>
    <phoneticPr fontId="39" type="noConversion"/>
  </si>
  <si>
    <t>GRAY (9098)</t>
    <phoneticPr fontId="39" type="noConversion"/>
  </si>
  <si>
    <t>TTL</t>
    <phoneticPr fontId="39" type="noConversion"/>
  </si>
  <si>
    <t>SMC 물탱크</t>
    <phoneticPr fontId="39" type="noConversion"/>
  </si>
  <si>
    <t>온도(℃)/습도(%)</t>
    <phoneticPr fontId="39" type="noConversion"/>
  </si>
  <si>
    <t>K972</t>
    <phoneticPr fontId="39" type="noConversion"/>
  </si>
  <si>
    <t>확인</t>
    <phoneticPr fontId="2" type="noConversion"/>
  </si>
  <si>
    <t>품목</t>
    <phoneticPr fontId="2" type="noConversion"/>
  </si>
  <si>
    <t>불포화수지</t>
    <phoneticPr fontId="2" type="noConversion"/>
  </si>
  <si>
    <t>저수축제</t>
    <phoneticPr fontId="2" type="noConversion"/>
  </si>
  <si>
    <t>희석제</t>
    <phoneticPr fontId="2" type="noConversion"/>
  </si>
  <si>
    <t>첨가제</t>
    <phoneticPr fontId="2" type="noConversion"/>
  </si>
  <si>
    <t>K996</t>
    <phoneticPr fontId="2" type="noConversion"/>
  </si>
  <si>
    <t>중합금지제</t>
    <phoneticPr fontId="2" type="noConversion"/>
  </si>
  <si>
    <t>경화제</t>
    <phoneticPr fontId="2" type="noConversion"/>
  </si>
  <si>
    <t>이형제</t>
    <phoneticPr fontId="2" type="noConversion"/>
  </si>
  <si>
    <t>CBA109N</t>
    <phoneticPr fontId="2" type="noConversion"/>
  </si>
  <si>
    <t>TBPB</t>
    <phoneticPr fontId="39" type="noConversion"/>
  </si>
  <si>
    <t>충진제</t>
    <phoneticPr fontId="2" type="noConversion"/>
  </si>
  <si>
    <t>증점제</t>
    <phoneticPr fontId="2" type="noConversion"/>
  </si>
  <si>
    <t>조색제</t>
    <phoneticPr fontId="2" type="noConversion"/>
  </si>
  <si>
    <t>CBA308S</t>
    <phoneticPr fontId="2" type="noConversion"/>
  </si>
  <si>
    <t>초기 증점조절제</t>
    <phoneticPr fontId="2" type="noConversion"/>
  </si>
  <si>
    <t>3. Compound 관리</t>
    <phoneticPr fontId="39" type="noConversion"/>
  </si>
  <si>
    <t>초기점도
(PS/℃)</t>
    <phoneticPr fontId="2" type="noConversion"/>
  </si>
  <si>
    <t>123/35</t>
    <phoneticPr fontId="2" type="noConversion"/>
  </si>
  <si>
    <t>5분</t>
    <phoneticPr fontId="2" type="noConversion"/>
  </si>
  <si>
    <t>10분</t>
    <phoneticPr fontId="2" type="noConversion"/>
  </si>
  <si>
    <t>15분</t>
    <phoneticPr fontId="2" type="noConversion"/>
  </si>
  <si>
    <t>20분</t>
    <phoneticPr fontId="2" type="noConversion"/>
  </si>
  <si>
    <t>25분</t>
    <phoneticPr fontId="2" type="noConversion"/>
  </si>
  <si>
    <t>증점거동(PS/℃)</t>
    <phoneticPr fontId="2" type="noConversion"/>
  </si>
  <si>
    <t>유리섬유</t>
    <phoneticPr fontId="2" type="noConversion"/>
  </si>
  <si>
    <t>4800TEX</t>
    <phoneticPr fontId="39" type="noConversion"/>
  </si>
  <si>
    <t>KG</t>
    <phoneticPr fontId="2" type="noConversion"/>
  </si>
  <si>
    <t>교반기 속도
(RPM)</t>
    <phoneticPr fontId="39" type="noConversion"/>
  </si>
  <si>
    <t>말기점도(PS/℃)</t>
    <phoneticPr fontId="2" type="noConversion"/>
  </si>
  <si>
    <t>4. 기타 특이 사항</t>
    <phoneticPr fontId="39" type="noConversion"/>
  </si>
  <si>
    <t>김길동</t>
    <phoneticPr fontId="2" type="noConversion"/>
  </si>
  <si>
    <t>박말순</t>
    <phoneticPr fontId="2" type="noConversion"/>
  </si>
  <si>
    <t>123/33</t>
    <phoneticPr fontId="2" type="noConversion"/>
  </si>
  <si>
    <t>200/33</t>
    <phoneticPr fontId="2" type="noConversion"/>
  </si>
  <si>
    <t>450/33</t>
    <phoneticPr fontId="2" type="noConversion"/>
  </si>
  <si>
    <t>500/33</t>
    <phoneticPr fontId="2" type="noConversion"/>
  </si>
  <si>
    <t>650/30</t>
    <phoneticPr fontId="2" type="noConversion"/>
  </si>
  <si>
    <t>이상없음</t>
    <phoneticPr fontId="2" type="noConversion"/>
  </si>
  <si>
    <t>배합 생산 지시서</t>
    <phoneticPr fontId="39" type="noConversion"/>
  </si>
  <si>
    <r>
      <t>4.5*10</t>
    </r>
    <r>
      <rPr>
        <vertAlign val="superscript"/>
        <sz val="10"/>
        <rFont val="맑은 고딕"/>
        <family val="3"/>
        <charset val="129"/>
        <scheme val="minor"/>
      </rPr>
      <t>5</t>
    </r>
    <phoneticPr fontId="2" type="noConversion"/>
  </si>
  <si>
    <t>HYVINA WTG</t>
    <phoneticPr fontId="2" type="noConversion"/>
  </si>
  <si>
    <t>260505-01~</t>
    <phoneticPr fontId="2" type="noConversion"/>
  </si>
  <si>
    <t>*탈포</t>
    <phoneticPr fontId="2" type="noConversion"/>
  </si>
  <si>
    <t>3. 점도 관리</t>
    <phoneticPr fontId="39" type="noConversion"/>
  </si>
  <si>
    <t>투입량
(Kg)</t>
    <phoneticPr fontId="39" type="noConversion"/>
  </si>
  <si>
    <t>총 투입량
(Kg)</t>
    <phoneticPr fontId="2" type="noConversion"/>
  </si>
  <si>
    <t>4단계: 내부이형제 및 PE 파우더 (Release Agents &amp; Powders)</t>
    <phoneticPr fontId="2" type="noConversion"/>
  </si>
  <si>
    <r>
      <t>실수 방지(Poka-Yoke):</t>
    </r>
    <r>
      <rPr>
        <sz val="11"/>
        <color theme="1"/>
        <rFont val="맑은 고딕"/>
        <family val="3"/>
        <charset val="129"/>
        <scheme val="minor"/>
      </rPr>
      <t xml:space="preserve"> 배합기 옆 '투입 체크리스트' 및 배합 지시서에 투입 즉시 서명하여 휴먼 에러를 원천 차단합니다.</t>
    </r>
    <phoneticPr fontId="2" type="noConversion"/>
  </si>
  <si>
    <t>1단계: 메인 액상 및 저수축제 혼합 (Base Liquids)</t>
    <phoneticPr fontId="2" type="noConversion"/>
  </si>
  <si>
    <t xml:space="preserve">   투입 원료:  SM(희석제) + K996(분산제)  + K972(분리방지제) + CBA109N(중합방지제)</t>
    <phoneticPr fontId="2" type="noConversion"/>
  </si>
  <si>
    <t>2단계: 희석제, 첨가제 및 중합방지제 투입 (Additives)</t>
    <phoneticPr fontId="2" type="noConversion"/>
  </si>
  <si>
    <r>
      <t xml:space="preserve">   Liquid Phase 투입후 파우더류 전 한번 고속으로 교반해 줍니다. </t>
    </r>
    <r>
      <rPr>
        <b/>
        <sz val="11"/>
        <color theme="1"/>
        <rFont val="맑은 고딕"/>
        <family val="3"/>
        <charset val="129"/>
        <scheme val="minor"/>
      </rPr>
      <t>(600RPM)</t>
    </r>
    <phoneticPr fontId="2" type="noConversion"/>
  </si>
  <si>
    <r>
      <t>주의:</t>
    </r>
    <r>
      <rPr>
        <sz val="11"/>
        <color theme="1"/>
        <rFont val="맑은 고딕"/>
        <family val="3"/>
        <charset val="129"/>
        <scheme val="minor"/>
      </rPr>
      <t xml:space="preserve"> 이때 온도가 </t>
    </r>
    <r>
      <rPr>
        <b/>
        <sz val="11"/>
        <color theme="1"/>
        <rFont val="맑은 고딕"/>
        <family val="3"/>
        <charset val="129"/>
        <scheme val="minor"/>
      </rPr>
      <t>45℃ 이상</t>
    </r>
    <r>
      <rPr>
        <sz val="11"/>
        <color theme="1"/>
        <rFont val="맑은 고딕"/>
        <family val="3"/>
        <charset val="129"/>
        <scheme val="minor"/>
      </rPr>
      <t xml:space="preserve"> 올라가지 않도록 냉각에 신경 써야 합니다. (배합기 열 발생 주의)</t>
    </r>
    <phoneticPr fontId="2" type="noConversion"/>
  </si>
  <si>
    <t>PS30</t>
    <phoneticPr fontId="2" type="noConversion"/>
  </si>
  <si>
    <t>PS40</t>
    <phoneticPr fontId="2" type="noConversion"/>
  </si>
  <si>
    <t>SC-637S</t>
    <phoneticPr fontId="2" type="noConversion"/>
  </si>
  <si>
    <t>750~950</t>
    <phoneticPr fontId="2" type="noConversion"/>
  </si>
  <si>
    <t>SMC 생산일지</t>
    <phoneticPr fontId="39" type="noConversion"/>
  </si>
  <si>
    <t>1. 기본사항</t>
    <phoneticPr fontId="2" type="noConversion"/>
  </si>
  <si>
    <t>품명</t>
    <phoneticPr fontId="2" type="noConversion"/>
  </si>
  <si>
    <t>온도</t>
    <phoneticPr fontId="2" type="noConversion"/>
  </si>
  <si>
    <t>℃</t>
    <phoneticPr fontId="53" type="noConversion"/>
  </si>
  <si>
    <t>습도</t>
    <phoneticPr fontId="2" type="noConversion"/>
  </si>
  <si>
    <t>%</t>
    <phoneticPr fontId="2" type="noConversion"/>
  </si>
  <si>
    <t>날씨</t>
    <phoneticPr fontId="2" type="noConversion"/>
  </si>
  <si>
    <t>생산 Batch</t>
    <phoneticPr fontId="2" type="noConversion"/>
  </si>
  <si>
    <t>Batch</t>
    <phoneticPr fontId="2" type="noConversion"/>
  </si>
  <si>
    <t>생산시간</t>
    <phoneticPr fontId="2" type="noConversion"/>
  </si>
  <si>
    <t>작업인원</t>
    <phoneticPr fontId="2" type="noConversion"/>
  </si>
  <si>
    <t>명</t>
    <phoneticPr fontId="2" type="noConversion"/>
  </si>
  <si>
    <t>생산 중량</t>
    <phoneticPr fontId="2" type="noConversion"/>
  </si>
  <si>
    <t>Kg</t>
    <phoneticPr fontId="2" type="noConversion"/>
  </si>
  <si>
    <t>2. 원재료 투입량</t>
    <phoneticPr fontId="2" type="noConversion"/>
  </si>
  <si>
    <t>CaCO3</t>
    <phoneticPr fontId="39" type="noConversion"/>
  </si>
  <si>
    <t>조색제(g/min)</t>
    <phoneticPr fontId="53" type="noConversion"/>
  </si>
  <si>
    <t>증점제(g/min)</t>
    <phoneticPr fontId="53" type="noConversion"/>
  </si>
  <si>
    <t>사용량
(Kg)</t>
    <phoneticPr fontId="39" type="noConversion"/>
  </si>
  <si>
    <t>총 원료 사용량
(Kg)</t>
    <phoneticPr fontId="39" type="noConversion"/>
  </si>
  <si>
    <t>실제 투입량 확인(Kg)</t>
    <phoneticPr fontId="2" type="noConversion"/>
  </si>
  <si>
    <t>45℃이하 관리</t>
    <phoneticPr fontId="2" type="noConversion"/>
  </si>
  <si>
    <t>실 원료 사용량
(Kg)</t>
    <phoneticPr fontId="2" type="noConversion"/>
  </si>
  <si>
    <t>토출량</t>
    <phoneticPr fontId="2" type="noConversion"/>
  </si>
  <si>
    <t>실토출량</t>
    <phoneticPr fontId="2" type="noConversion"/>
  </si>
  <si>
    <t>토출 비</t>
    <phoneticPr fontId="2" type="noConversion"/>
  </si>
  <si>
    <t>컴파운드(Kg/min)</t>
    <phoneticPr fontId="53" type="noConversion"/>
  </si>
  <si>
    <t xml:space="preserve">SMC 물탱크용 </t>
    <phoneticPr fontId="2" type="noConversion"/>
  </si>
  <si>
    <t>4. 토출량 확인</t>
    <phoneticPr fontId="2" type="noConversion"/>
  </si>
  <si>
    <t>3. 점도 확인</t>
    <phoneticPr fontId="2" type="noConversion"/>
  </si>
  <si>
    <t>No.</t>
    <phoneticPr fontId="2" type="noConversion"/>
  </si>
  <si>
    <t>No</t>
    <phoneticPr fontId="39" type="noConversion"/>
  </si>
  <si>
    <t>25분</t>
  </si>
  <si>
    <t>말기점도
(PS/℃)</t>
    <phoneticPr fontId="2" type="noConversion"/>
  </si>
  <si>
    <t>온도
(℃)</t>
    <phoneticPr fontId="2" type="noConversion"/>
  </si>
  <si>
    <t>습도
(%)</t>
    <phoneticPr fontId="2" type="noConversion"/>
  </si>
  <si>
    <t>총 중량
(Kg)</t>
    <phoneticPr fontId="2" type="noConversion"/>
  </si>
  <si>
    <t>실 중량
(Kg)</t>
    <phoneticPr fontId="2" type="noConversion"/>
  </si>
  <si>
    <t>생산 속도
(m/min)</t>
    <phoneticPr fontId="2" type="noConversion"/>
  </si>
  <si>
    <r>
      <t>단중
(Kg/m</t>
    </r>
    <r>
      <rPr>
        <b/>
        <vertAlign val="superscript"/>
        <sz val="12"/>
        <rFont val="맑은 고딕"/>
        <family val="3"/>
        <charset val="129"/>
        <scheme val="minor"/>
      </rPr>
      <t>2</t>
    </r>
    <r>
      <rPr>
        <b/>
        <sz val="12"/>
        <rFont val="맑은 고딕"/>
        <family val="3"/>
        <charset val="129"/>
        <scheme val="minor"/>
      </rPr>
      <t>)</t>
    </r>
    <phoneticPr fontId="2" type="noConversion"/>
  </si>
  <si>
    <t>TTL</t>
    <phoneticPr fontId="2" type="noConversion"/>
  </si>
  <si>
    <t>CUTTER 
1/2 RPM</t>
    <phoneticPr fontId="2" type="noConversion"/>
  </si>
  <si>
    <t>제품 폭
(mm)</t>
    <phoneticPr fontId="2" type="noConversion"/>
  </si>
  <si>
    <t>Lot</t>
    <phoneticPr fontId="2" type="noConversion"/>
  </si>
  <si>
    <t>HYVINA-WTG</t>
    <phoneticPr fontId="2" type="noConversion"/>
  </si>
  <si>
    <t>함침 정도
(%)</t>
    <phoneticPr fontId="2" type="noConversion"/>
  </si>
  <si>
    <t>생산수율</t>
    <phoneticPr fontId="2" type="noConversion"/>
  </si>
  <si>
    <t>4. SMC 생산 확인</t>
    <phoneticPr fontId="2" type="noConversion"/>
  </si>
  <si>
    <t>5. 유리섬유 체크</t>
    <phoneticPr fontId="2" type="noConversion"/>
  </si>
  <si>
    <t>*각 단계별로 성분이 완전히 시각적으로 균일해질 때까지 충분히 교반 시간을 주어야 물성 편차가 없습니다.(MAX 950RPM)</t>
    <phoneticPr fontId="2" type="noConversion"/>
  </si>
  <si>
    <t>유리 섬유 Lot</t>
    <phoneticPr fontId="2" type="noConversion"/>
  </si>
  <si>
    <t>유리섬유 함량</t>
    <phoneticPr fontId="2" type="noConversion"/>
  </si>
  <si>
    <t>전체사용량 (Kg)</t>
    <phoneticPr fontId="2" type="noConversion"/>
  </si>
  <si>
    <t>13:00~16:00</t>
    <phoneticPr fontId="2" type="noConversion"/>
  </si>
  <si>
    <t>비가동 내역</t>
    <phoneticPr fontId="2" type="noConversion"/>
  </si>
  <si>
    <t>생산준비 및 청소</t>
    <phoneticPr fontId="2" type="noConversion"/>
  </si>
  <si>
    <t>롤 사용량 (Kg)</t>
    <phoneticPr fontId="2" type="noConversion"/>
  </si>
  <si>
    <t>D/B 1,2
(mm)</t>
    <phoneticPr fontId="2" type="noConversion"/>
  </si>
  <si>
    <t>7. 특이사항 및 조치</t>
    <phoneticPr fontId="2" type="noConversion"/>
  </si>
  <si>
    <t>CPIC</t>
    <phoneticPr fontId="2" type="noConversion"/>
  </si>
  <si>
    <t>WEIBO</t>
    <phoneticPr fontId="2" type="noConversion"/>
  </si>
  <si>
    <t>6. 출고 전 최종 품질 확인</t>
    <phoneticPr fontId="2" type="noConversion"/>
  </si>
  <si>
    <t>점검 항목</t>
    <phoneticPr fontId="2" type="noConversion"/>
  </si>
  <si>
    <t>표면 함침 상태</t>
    <phoneticPr fontId="2" type="noConversion"/>
  </si>
  <si>
    <t>관리 기준</t>
    <phoneticPr fontId="2" type="noConversion"/>
  </si>
  <si>
    <t>점검결과</t>
    <phoneticPr fontId="2" type="noConversion"/>
  </si>
  <si>
    <t>판정</t>
    <phoneticPr fontId="2" type="noConversion"/>
  </si>
  <si>
    <t>시트가장자리</t>
    <phoneticPr fontId="2" type="noConversion"/>
  </si>
  <si>
    <t>R/V 돌출 및 커팅불량 없을것</t>
    <phoneticPr fontId="2" type="noConversion"/>
  </si>
  <si>
    <t>이물질 혼입</t>
    <phoneticPr fontId="2" type="noConversion"/>
  </si>
  <si>
    <t>금속 및 기타 이물질 혼입 여부</t>
    <phoneticPr fontId="2" type="noConversion"/>
  </si>
  <si>
    <t>시트 점착성</t>
    <phoneticPr fontId="2" type="noConversion"/>
  </si>
  <si>
    <t>필름을 벗길때 너무 끈적거리지 않은가?</t>
    <phoneticPr fontId="2" type="noConversion"/>
  </si>
  <si>
    <t>육안상 함침이 미비한곳이 없는가?</t>
    <phoneticPr fontId="2" type="noConversion"/>
  </si>
  <si>
    <t>포장</t>
    <phoneticPr fontId="2" type="noConversion"/>
  </si>
  <si>
    <t>포장 상태는 양호한가?</t>
    <phoneticPr fontId="2" type="noConversion"/>
  </si>
  <si>
    <t>CBA-307F{초기즘점 조절제}</t>
    <phoneticPr fontId="2" type="noConversion"/>
  </si>
  <si>
    <t>3. 함침 및 포장 (Impregnation &amp; packaging)</t>
    <phoneticPr fontId="2" type="noConversion"/>
  </si>
  <si>
    <t>1. 원재료 배합 공정 (Compounding Standard)</t>
    <phoneticPr fontId="2" type="noConversion"/>
  </si>
  <si>
    <t>투입된 유리섬유(CPIC, WEIBO 등) 가닥 사이사이의 공기를 완전히 빼내고 수지를 흡수시키는 핵심 단계입니다.</t>
  </si>
  <si>
    <t>추후 물탱크 성형 시 표면이 하얗게 뜨는 함침 불량(Wet-out 부실) 및 기포(Blister) 불량을 유발합니다.</t>
    <phoneticPr fontId="2" type="noConversion"/>
  </si>
  <si>
    <t xml:space="preserve">* 압력 부족 시 현장 다발 불량: 유리섬유 가닥 내부에 미세 공기가 잔류하여 숙성 중 조기 경화가 오거나, </t>
  </si>
  <si>
    <t>에어 실린더 정격 압력 준수</t>
    <phoneticPr fontId="2" type="noConversion"/>
  </si>
  <si>
    <t>이 발생하고, 유리섬유 가닥이 과압착으로 깎여 완제품의 기계적 충격 강도가 떨어집니다.</t>
    <phoneticPr fontId="2" type="noConversion"/>
  </si>
  <si>
    <r>
      <t xml:space="preserve">* 압력 과다 시 : </t>
    </r>
    <r>
      <rPr>
        <sz val="11"/>
        <color theme="1"/>
        <rFont val="맑은 고딕"/>
        <family val="3"/>
        <charset val="129"/>
      </rPr>
      <t>수지가 필름 측면으로 터져 나와 설비를 오염시키는 떡짐 현상(Compound Bleeding)</t>
    </r>
    <phoneticPr fontId="2" type="noConversion"/>
  </si>
  <si>
    <r>
      <t>메쉬벨트-롤러 속도 동기화:</t>
    </r>
    <r>
      <rPr>
        <sz val="11"/>
        <color theme="1"/>
        <rFont val="맑은 고딕"/>
        <family val="2"/>
        <charset val="129"/>
      </rPr>
      <t xml:space="preserve"> 메쉬벨트의 주행 속도와 함침 롤러의 회전 속도가 완벽히 일치해야 합니다. </t>
    </r>
    <phoneticPr fontId="2" type="noConversion"/>
  </si>
  <si>
    <t xml:space="preserve">미세하게 속도가 어긋나면 슬립(Slip) 현상이 발생하여 시트 표면 필름이 밀리거나 수지층 찢어짐 현상이 </t>
    <phoneticPr fontId="2" type="noConversion"/>
  </si>
  <si>
    <t>발생하므로 구동 모터의 RPM 상태를 실시간 체크하십시오.</t>
  </si>
  <si>
    <t xml:space="preserve"> *커터 블레이드(Cutter Blade) 마모 상태 감시: </t>
    <phoneticPr fontId="2" type="noConversion"/>
  </si>
  <si>
    <t xml:space="preserve">   생산 중 유리섬유가 정장(25mm 또는 50mm)으로 깔끔하게 잘리지 않고 뭉쳐서 덜렁거리며 떨어지는 가닥(안 잘린 가닥)이 수지 위로 유입되는지 </t>
    <phoneticPr fontId="2" type="noConversion"/>
  </si>
  <si>
    <t xml:space="preserve">   육안으로 상시 감시해야 합니다. 칼날이나 고무 롤러에 파임이 생기면 그 즉시 국부적 함침 불량이 발생하므로 롤 교체 시마다 커터 장치를 점검하십시오.</t>
    <phoneticPr fontId="2" type="noConversion"/>
  </si>
  <si>
    <t xml:space="preserve">   분산 슈트에 유리섬유 가루나 수지가 튀어 오염되면 유리섬유가 불균일하게 떨어집니다. 시트 전 면적에 설계 함량(30% 또는 40%)이 균등하게 배분되도록</t>
    <phoneticPr fontId="2" type="noConversion"/>
  </si>
  <si>
    <t xml:space="preserve">  분산 슈트 정전기 및 청결 관리:  </t>
    <phoneticPr fontId="2" type="noConversion"/>
  </si>
  <si>
    <r>
      <t xml:space="preserve">   </t>
    </r>
    <r>
      <rPr>
        <sz val="11"/>
        <color theme="1"/>
        <rFont val="맑은 고딕"/>
        <family val="3"/>
        <charset val="129"/>
      </rPr>
      <t>분산기 내부를 상시 청결하게 유지하십시오.</t>
    </r>
    <phoneticPr fontId="2" type="noConversion"/>
  </si>
  <si>
    <r>
      <t xml:space="preserve">   </t>
    </r>
    <r>
      <rPr>
        <b/>
        <sz val="11"/>
        <color theme="1"/>
        <rFont val="맑은 고딕"/>
        <family val="3"/>
        <charset val="129"/>
      </rPr>
      <t xml:space="preserve">필름 주름 및 사행 상시 관리 : </t>
    </r>
    <r>
      <rPr>
        <sz val="11"/>
        <color theme="1"/>
        <rFont val="맑은 고딕"/>
        <family val="3"/>
        <charset val="129"/>
      </rPr>
      <t>필름이 울거나 접히면 수지 도포가 불균일해지고 성형 시 불량의 원인이 됩니다.</t>
    </r>
    <phoneticPr fontId="2" type="noConversion"/>
  </si>
  <si>
    <t>부재료비</t>
    <phoneticPr fontId="2" type="noConversion"/>
  </si>
  <si>
    <t>점도 이상시 5~10kg 투입</t>
    <phoneticPr fontId="2" type="noConversion"/>
  </si>
  <si>
    <t>kg/min</t>
    <phoneticPr fontId="2" type="noConversion"/>
  </si>
  <si>
    <t>g/min</t>
    <phoneticPr fontId="2" type="noConversion"/>
  </si>
  <si>
    <t>.g/min</t>
    <phoneticPr fontId="2" type="noConversion"/>
  </si>
  <si>
    <t>시작</t>
    <phoneticPr fontId="2" type="noConversion"/>
  </si>
  <si>
    <t>종료</t>
    <phoneticPr fontId="2" type="noConversion"/>
  </si>
  <si>
    <t>토출량(Kg/min)</t>
    <phoneticPr fontId="2" type="noConversion"/>
  </si>
  <si>
    <t>sm 3파트추가</t>
    <phoneticPr fontId="2" type="noConversion"/>
  </si>
  <si>
    <t>증점제는 2,2.5파트로 한다.</t>
    <phoneticPr fontId="2" type="noConversion"/>
  </si>
  <si>
    <t>초기증점조절제 1.3</t>
    <phoneticPr fontId="2" type="noConversion"/>
  </si>
  <si>
    <t>3-2</t>
    <phoneticPr fontId="2" type="noConversion"/>
  </si>
  <si>
    <t>K996</t>
    <phoneticPr fontId="39" type="noConversion"/>
  </si>
  <si>
    <t>HYVINA-WTG-2606013-1~</t>
    <phoneticPr fontId="2" type="noConversion"/>
  </si>
  <si>
    <t>HYVINA-WTG-260707-1~</t>
    <phoneticPr fontId="2" type="noConversion"/>
  </si>
  <si>
    <t>59/59</t>
    <phoneticPr fontId="2" type="noConversion"/>
  </si>
  <si>
    <t>1.5/1.5</t>
    <phoneticPr fontId="2" type="noConversion"/>
  </si>
  <si>
    <t>4.6(5.06)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</si>
</sst>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2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0.00_ "/>
    <numFmt numFmtId="177" formatCode="_-* #,##0.0_-;\-* #,##0.0_-;_-* &quot;-&quot;_-;_-@_-"/>
    <numFmt numFmtId="178" formatCode="_-&quot;₩&quot;* #,##0.0_-;\-&quot;₩&quot;* #,##0.0_-;_-&quot;₩&quot;* &quot;-&quot;_-;_-@_-"/>
    <numFmt numFmtId="179" formatCode="#,##0.000_);[Red]\(#,##0.000\)"/>
    <numFmt numFmtId="180" formatCode="#,##0.00_ ;[Red]\-#,##0.00\ "/>
    <numFmt numFmtId="181" formatCode="0.0%"/>
    <numFmt numFmtId="182" formatCode="0.0_ "/>
    <numFmt numFmtId="183" formatCode="_-&quot;₩&quot;* #,##0.00_-;\-&quot;₩&quot;* #,##0.00_-;_-&quot;₩&quot;* &quot;-&quot;_-;_-@_-"/>
    <numFmt numFmtId="184" formatCode="\$#,##0.000"/>
    <numFmt numFmtId="185" formatCode="#,##0.00_);[Red]\(#,##0.00\)"/>
    <numFmt numFmtId="186" formatCode="0.0000"/>
    <numFmt numFmtId="187" formatCode="#,##0.00_ "/>
    <numFmt numFmtId="188" formatCode="0.00_);[Red]\(0.00\)"/>
    <numFmt numFmtId="189" formatCode="#,##0_ "/>
    <numFmt numFmtId="190" formatCode="0_);[Red]\(0\)"/>
    <numFmt numFmtId="191" formatCode="_-* #,##0.00_-;\-* #,##0.00_-;_-* &quot;-&quot;_-;_-@_-"/>
    <numFmt numFmtId="192" formatCode="_-* #,##0.000_-;\-* #,##0.000_-;_-* &quot;-&quot;_-;_-@_-"/>
    <numFmt numFmtId="193" formatCode="_-* #,##0.0_-;\-* #,##0.0_-;_-* &quot;-&quot;?_-;_-@_-"/>
    <numFmt numFmtId="194" formatCode="_-* #,##0.000_-;\-* #,##0.000_-;_-* &quot;-&quot;?_-;_-@_-"/>
    <numFmt numFmtId="195" formatCode="_-* #,##0.00_-;\-* #,##0.00_-;_-* &quot;-&quot;?_-;_-@_-"/>
    <numFmt numFmtId="196" formatCode="_-* #,##0.0000_-;\-* #,##0.0000_-;_-* &quot;-&quot;??_-;_-@_-"/>
    <numFmt numFmtId="197" formatCode="_-* #,##0.000_-;\-* #,##0.000_-;_-* &quot;-&quot;??_-;_-@_-"/>
    <numFmt numFmtId="198" formatCode="0.0_);[Red]\(0.0\)"/>
    <numFmt numFmtId="199" formatCode="#,##0.0_ ;[Red]\-#,##0.0\ "/>
    <numFmt numFmtId="200" formatCode="#,##0.0_ "/>
    <numFmt numFmtId="201" formatCode="0.0"/>
    <numFmt numFmtId="202" formatCode="[$-F800]dddd\,\ mmmm\ dd\,\ yyyy"/>
    <numFmt numFmtId="203" formatCode="#,##0.0_);[Red]\(#,##0.0\)"/>
    <numFmt numFmtId="204" formatCode="#,##0_);[Red]\(#,##0\)"/>
  </numFmts>
  <fonts count="87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</font>
    <font>
      <b/>
      <sz val="11"/>
      <color theme="1"/>
      <name val="맑은 고딕"/>
      <family val="2"/>
      <charset val="129"/>
    </font>
    <font>
      <sz val="11"/>
      <color theme="1"/>
      <name val="맑은 고딕"/>
      <family val="3"/>
      <charset val="129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맑은 고딕"/>
      <family val="3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name val="맑은 고딕"/>
      <family val="3"/>
      <charset val="129"/>
    </font>
    <font>
      <sz val="10"/>
      <color rgb="FFFF0000"/>
      <name val="맑은 고딕"/>
      <family val="2"/>
      <charset val="129"/>
    </font>
    <font>
      <b/>
      <sz val="14"/>
      <color rgb="FF3399FF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color theme="4" tint="-0.249977111117893"/>
      <name val="맑은 고딕"/>
      <family val="3"/>
      <charset val="129"/>
    </font>
    <font>
      <b/>
      <sz val="14"/>
      <color theme="4" tint="-0.249977111117893"/>
      <name val="맑은 고딕"/>
      <family val="3"/>
      <charset val="129"/>
    </font>
    <font>
      <b/>
      <sz val="12"/>
      <color theme="4" tint="-0.249977111117893"/>
      <name val="맑은 고딕"/>
      <family val="3"/>
      <charset val="129"/>
    </font>
    <font>
      <b/>
      <sz val="14"/>
      <color theme="8" tint="-0.499984740745262"/>
      <name val="맑은 고딕"/>
      <family val="3"/>
      <charset val="129"/>
    </font>
    <font>
      <b/>
      <sz val="18"/>
      <color theme="1"/>
      <name val="맑은 고딕"/>
      <family val="3"/>
      <charset val="129"/>
    </font>
    <font>
      <sz val="18"/>
      <color theme="1"/>
      <name val="맑은 고딕"/>
      <family val="2"/>
      <charset val="129"/>
    </font>
    <font>
      <b/>
      <sz val="14"/>
      <color theme="1"/>
      <name val="맑은 고딕"/>
      <family val="3"/>
      <charset val="129"/>
    </font>
    <font>
      <b/>
      <sz val="20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3.5"/>
      <color theme="1"/>
      <name val="맑은 고딕"/>
      <family val="3"/>
      <charset val="129"/>
    </font>
    <font>
      <b/>
      <sz val="20"/>
      <color theme="1"/>
      <name val="맑은 고딕"/>
      <family val="2"/>
      <charset val="129"/>
    </font>
    <font>
      <b/>
      <sz val="12"/>
      <color theme="1"/>
      <name val="맑은 고딕"/>
      <family val="2"/>
      <charset val="129"/>
    </font>
    <font>
      <b/>
      <sz val="14"/>
      <color theme="1"/>
      <name val="맑은 고딕"/>
      <family val="2"/>
      <charset val="129"/>
    </font>
    <font>
      <sz val="10"/>
      <color theme="1"/>
      <name val="Arial"/>
      <family val="2"/>
    </font>
    <font>
      <b/>
      <sz val="12"/>
      <color theme="4" tint="-0.249977111117893"/>
      <name val="맑은 고딕"/>
      <family val="2"/>
      <charset val="129"/>
    </font>
    <font>
      <b/>
      <sz val="12"/>
      <color theme="4" tint="-0.249977111117893"/>
      <name val="Arial"/>
      <family val="2"/>
    </font>
    <font>
      <sz val="10.5"/>
      <color theme="1"/>
      <name val="맑은 고딕"/>
      <family val="2"/>
      <charset val="129"/>
    </font>
    <font>
      <sz val="11"/>
      <name val="돋움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b/>
      <sz val="9"/>
      <color rgb="FF0000FF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9"/>
      <color rgb="FFC0000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Tahoma"/>
      <family val="2"/>
    </font>
    <font>
      <b/>
      <sz val="20"/>
      <color theme="1"/>
      <name val="Tahoma"/>
      <family val="2"/>
    </font>
    <font>
      <sz val="8"/>
      <name val="맑은 고딕"/>
      <family val="2"/>
      <charset val="129"/>
      <scheme val="minor"/>
    </font>
    <font>
      <b/>
      <sz val="11"/>
      <color theme="1"/>
      <name val="Tahoma"/>
      <family val="2"/>
    </font>
    <font>
      <b/>
      <u/>
      <sz val="18"/>
      <color theme="1"/>
      <name val="Tahoma"/>
      <family val="2"/>
    </font>
    <font>
      <sz val="9"/>
      <name val="맑은 고딕"/>
      <family val="2"/>
      <charset val="134"/>
      <scheme val="minor"/>
    </font>
    <font>
      <b/>
      <sz val="16"/>
      <color theme="1"/>
      <name val="Tahoma"/>
      <family val="2"/>
    </font>
    <font>
      <sz val="8"/>
      <name val="맑은 고딕"/>
      <family val="3"/>
      <charset val="129"/>
      <scheme val="minor"/>
    </font>
    <font>
      <sz val="10"/>
      <color theme="1"/>
      <name val="Tahoma"/>
      <family val="2"/>
    </font>
    <font>
      <sz val="10"/>
      <name val="Tahoma"/>
      <family val="2"/>
    </font>
    <font>
      <sz val="11"/>
      <color rgb="FFFF0000"/>
      <name val="Tahoma"/>
      <family val="2"/>
    </font>
    <font>
      <b/>
      <sz val="11"/>
      <color theme="2"/>
      <name val="Tahoma"/>
      <family val="2"/>
    </font>
    <font>
      <b/>
      <sz val="12"/>
      <color theme="1"/>
      <name val="Tahoma"/>
      <family val="2"/>
    </font>
    <font>
      <b/>
      <sz val="13.5"/>
      <color theme="1"/>
      <name val="맑은 고딕"/>
      <family val="3"/>
      <charset val="129"/>
      <scheme val="minor"/>
    </font>
    <font>
      <b/>
      <sz val="10"/>
      <name val="돋움"/>
      <family val="3"/>
      <charset val="129"/>
    </font>
    <font>
      <b/>
      <u/>
      <sz val="18"/>
      <name val="돋움"/>
      <family val="3"/>
      <charset val="129"/>
    </font>
    <font>
      <b/>
      <sz val="12"/>
      <name val="돋움"/>
      <family val="3"/>
      <charset val="129"/>
    </font>
    <font>
      <b/>
      <sz val="14"/>
      <name val="돋움"/>
      <family val="3"/>
      <charset val="129"/>
    </font>
    <font>
      <b/>
      <sz val="10"/>
      <color indexed="9"/>
      <name val="돋움"/>
      <family val="3"/>
      <charset val="129"/>
    </font>
    <font>
      <b/>
      <sz val="16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b/>
      <u/>
      <sz val="18"/>
      <name val="맑은 고딕"/>
      <family val="3"/>
      <charset val="129"/>
      <scheme val="minor"/>
    </font>
    <font>
      <b/>
      <u/>
      <sz val="22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vertAlign val="superscript"/>
      <sz val="10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u val="double"/>
      <sz val="28"/>
      <name val="맑은 고딕"/>
      <family val="3"/>
      <charset val="129"/>
      <scheme val="major"/>
    </font>
    <font>
      <b/>
      <u val="double"/>
      <sz val="36"/>
      <name val="맑은 고딕"/>
      <family val="3"/>
      <charset val="129"/>
      <scheme val="major"/>
    </font>
    <font>
      <b/>
      <sz val="12"/>
      <name val="맑은 고딕"/>
      <family val="3"/>
      <charset val="129"/>
      <scheme val="minor"/>
    </font>
    <font>
      <b/>
      <vertAlign val="superscript"/>
      <sz val="12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>
      <alignment vertical="center"/>
    </xf>
    <xf numFmtId="0" fontId="36" fillId="0" borderId="0"/>
    <xf numFmtId="41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50" fillId="0" borderId="0">
      <alignment vertical="center"/>
    </xf>
    <xf numFmtId="41" fontId="50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9" fontId="50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9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91">
    <xf numFmtId="0" fontId="0" fillId="0" borderId="0" xfId="0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9" fillId="0" borderId="0" xfId="0" applyFont="1" applyAlignment="1">
      <alignment horizontal="left" vertical="center" indent="2"/>
    </xf>
    <xf numFmtId="0" fontId="11" fillId="0" borderId="0" xfId="0" applyFont="1">
      <alignment vertical="center"/>
    </xf>
    <xf numFmtId="0" fontId="10" fillId="0" borderId="0" xfId="0" applyFont="1">
      <alignment vertical="center"/>
    </xf>
    <xf numFmtId="0" fontId="9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 applyAlignment="1">
      <alignment horizontal="left" vertical="center" indent="1"/>
    </xf>
    <xf numFmtId="0" fontId="17" fillId="0" borderId="0" xfId="0" applyFont="1">
      <alignment vertical="center"/>
    </xf>
    <xf numFmtId="0" fontId="0" fillId="0" borderId="0" xfId="0" applyAlignment="1">
      <alignment horizontal="left" vertical="center" indent="2"/>
    </xf>
    <xf numFmtId="0" fontId="18" fillId="0" borderId="0" xfId="0" applyFont="1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21" fillId="0" borderId="0" xfId="0" applyFont="1" applyAlignment="1">
      <alignment horizontal="left" vertical="center" indent="1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22" fillId="0" borderId="0" xfId="0" applyFont="1">
      <alignment vertical="center"/>
    </xf>
    <xf numFmtId="0" fontId="25" fillId="0" borderId="0" xfId="0" applyFont="1">
      <alignment vertical="center"/>
    </xf>
    <xf numFmtId="0" fontId="28" fillId="0" borderId="0" xfId="0" applyFont="1">
      <alignment vertical="center"/>
    </xf>
    <xf numFmtId="0" fontId="7" fillId="0" borderId="0" xfId="0" applyFont="1" applyAlignment="1">
      <alignment horizontal="left" vertical="center" indent="1"/>
    </xf>
    <xf numFmtId="0" fontId="30" fillId="0" borderId="0" xfId="0" applyFont="1">
      <alignment vertical="center"/>
    </xf>
    <xf numFmtId="0" fontId="35" fillId="0" borderId="0" xfId="0" applyFont="1">
      <alignment vertical="center"/>
    </xf>
    <xf numFmtId="0" fontId="37" fillId="0" borderId="0" xfId="1" applyFont="1" applyAlignment="1">
      <alignment vertical="center"/>
    </xf>
    <xf numFmtId="0" fontId="38" fillId="0" borderId="0" xfId="1" applyFont="1" applyAlignment="1">
      <alignment vertical="center"/>
    </xf>
    <xf numFmtId="176" fontId="37" fillId="0" borderId="0" xfId="1" applyNumberFormat="1" applyFont="1" applyAlignment="1">
      <alignment vertical="center"/>
    </xf>
    <xf numFmtId="41" fontId="37" fillId="4" borderId="5" xfId="2" applyFont="1" applyFill="1" applyBorder="1" applyAlignment="1">
      <alignment horizontal="center" vertical="center"/>
    </xf>
    <xf numFmtId="41" fontId="37" fillId="3" borderId="13" xfId="2" applyFont="1" applyFill="1" applyBorder="1" applyAlignment="1">
      <alignment horizontal="center" vertical="center"/>
    </xf>
    <xf numFmtId="0" fontId="37" fillId="3" borderId="1" xfId="1" applyFont="1" applyFill="1" applyBorder="1" applyAlignment="1">
      <alignment horizontal="center" vertical="center"/>
    </xf>
    <xf numFmtId="0" fontId="37" fillId="3" borderId="1" xfId="1" applyFont="1" applyFill="1" applyBorder="1" applyAlignment="1">
      <alignment horizontal="center" vertical="center" wrapText="1"/>
    </xf>
    <xf numFmtId="0" fontId="41" fillId="3" borderId="14" xfId="1" applyFont="1" applyFill="1" applyBorder="1" applyAlignment="1">
      <alignment horizontal="center" vertical="center" wrapText="1"/>
    </xf>
    <xf numFmtId="41" fontId="37" fillId="3" borderId="15" xfId="2" applyFont="1" applyFill="1" applyBorder="1" applyAlignment="1">
      <alignment horizontal="center" vertical="center"/>
    </xf>
    <xf numFmtId="0" fontId="37" fillId="3" borderId="16" xfId="1" applyFont="1" applyFill="1" applyBorder="1" applyAlignment="1">
      <alignment horizontal="center" vertical="center"/>
    </xf>
    <xf numFmtId="0" fontId="37" fillId="3" borderId="17" xfId="1" applyFont="1" applyFill="1" applyBorder="1" applyAlignment="1">
      <alignment horizontal="center" vertical="center" wrapText="1"/>
    </xf>
    <xf numFmtId="0" fontId="37" fillId="6" borderId="17" xfId="1" applyFont="1" applyFill="1" applyBorder="1" applyAlignment="1">
      <alignment horizontal="center" vertical="center" wrapText="1"/>
    </xf>
    <xf numFmtId="0" fontId="41" fillId="7" borderId="18" xfId="1" applyFont="1" applyFill="1" applyBorder="1" applyAlignment="1">
      <alignment horizontal="center" vertical="center" wrapText="1"/>
    </xf>
    <xf numFmtId="0" fontId="37" fillId="0" borderId="19" xfId="1" applyFont="1" applyBorder="1" applyAlignment="1">
      <alignment horizontal="center" vertical="center"/>
    </xf>
    <xf numFmtId="178" fontId="42" fillId="0" borderId="20" xfId="3" applyNumberFormat="1" applyFont="1" applyFill="1" applyBorder="1" applyAlignment="1">
      <alignment vertical="center"/>
    </xf>
    <xf numFmtId="179" fontId="37" fillId="0" borderId="13" xfId="1" applyNumberFormat="1" applyFont="1" applyBorder="1" applyAlignment="1">
      <alignment horizontal="right" vertical="center"/>
    </xf>
    <xf numFmtId="180" fontId="42" fillId="0" borderId="1" xfId="1" applyNumberFormat="1" applyFont="1" applyBorder="1" applyAlignment="1">
      <alignment vertical="center"/>
    </xf>
    <xf numFmtId="10" fontId="37" fillId="0" borderId="1" xfId="1" applyNumberFormat="1" applyFont="1" applyBorder="1" applyAlignment="1">
      <alignment vertical="center"/>
    </xf>
    <xf numFmtId="180" fontId="42" fillId="3" borderId="1" xfId="1" applyNumberFormat="1" applyFont="1" applyFill="1" applyBorder="1" applyAlignment="1">
      <alignment vertical="center"/>
    </xf>
    <xf numFmtId="180" fontId="42" fillId="0" borderId="14" xfId="1" applyNumberFormat="1" applyFont="1" applyBorder="1" applyAlignment="1">
      <alignment vertical="center"/>
    </xf>
    <xf numFmtId="0" fontId="37" fillId="0" borderId="21" xfId="1" applyFont="1" applyBorder="1" applyAlignment="1">
      <alignment horizontal="center" vertical="center"/>
    </xf>
    <xf numFmtId="178" fontId="42" fillId="0" borderId="13" xfId="3" applyNumberFormat="1" applyFont="1" applyFill="1" applyBorder="1" applyAlignment="1">
      <alignment vertical="center"/>
    </xf>
    <xf numFmtId="10" fontId="42" fillId="0" borderId="1" xfId="1" applyNumberFormat="1" applyFont="1" applyBorder="1" applyAlignment="1">
      <alignment vertical="center"/>
    </xf>
    <xf numFmtId="0" fontId="37" fillId="0" borderId="21" xfId="1" applyFont="1" applyBorder="1" applyAlignment="1">
      <alignment vertical="center"/>
    </xf>
    <xf numFmtId="178" fontId="37" fillId="0" borderId="13" xfId="1" applyNumberFormat="1" applyFont="1" applyBorder="1" applyAlignment="1">
      <alignment vertical="center"/>
    </xf>
    <xf numFmtId="0" fontId="37" fillId="0" borderId="1" xfId="1" applyFont="1" applyBorder="1" applyAlignment="1">
      <alignment vertical="center"/>
    </xf>
    <xf numFmtId="0" fontId="37" fillId="3" borderId="1" xfId="1" applyFont="1" applyFill="1" applyBorder="1" applyAlignment="1">
      <alignment vertical="center"/>
    </xf>
    <xf numFmtId="0" fontId="37" fillId="0" borderId="14" xfId="1" applyFont="1" applyBorder="1" applyAlignment="1">
      <alignment vertical="center"/>
    </xf>
    <xf numFmtId="0" fontId="37" fillId="0" borderId="22" xfId="1" applyFont="1" applyBorder="1" applyAlignment="1">
      <alignment vertical="center"/>
    </xf>
    <xf numFmtId="0" fontId="42" fillId="0" borderId="21" xfId="1" quotePrefix="1" applyFont="1" applyBorder="1" applyAlignment="1">
      <alignment horizontal="center" vertical="center"/>
    </xf>
    <xf numFmtId="180" fontId="42" fillId="7" borderId="1" xfId="1" applyNumberFormat="1" applyFont="1" applyFill="1" applyBorder="1" applyAlignment="1">
      <alignment vertical="center"/>
    </xf>
    <xf numFmtId="180" fontId="42" fillId="8" borderId="1" xfId="1" applyNumberFormat="1" applyFont="1" applyFill="1" applyBorder="1" applyAlignment="1">
      <alignment vertical="center"/>
    </xf>
    <xf numFmtId="180" fontId="42" fillId="0" borderId="23" xfId="1" applyNumberFormat="1" applyFont="1" applyBorder="1" applyAlignment="1">
      <alignment vertical="center"/>
    </xf>
    <xf numFmtId="0" fontId="42" fillId="0" borderId="21" xfId="1" applyFont="1" applyBorder="1" applyAlignment="1">
      <alignment horizontal="center" vertical="center"/>
    </xf>
    <xf numFmtId="0" fontId="43" fillId="0" borderId="0" xfId="1" applyFont="1" applyAlignment="1">
      <alignment vertical="center"/>
    </xf>
    <xf numFmtId="176" fontId="43" fillId="0" borderId="0" xfId="1" applyNumberFormat="1" applyFont="1" applyAlignment="1">
      <alignment vertical="center"/>
    </xf>
    <xf numFmtId="178" fontId="37" fillId="0" borderId="23" xfId="1" applyNumberFormat="1" applyFont="1" applyBorder="1" applyAlignment="1">
      <alignment vertical="center"/>
    </xf>
    <xf numFmtId="0" fontId="37" fillId="0" borderId="21" xfId="1" quotePrefix="1" applyFont="1" applyBorder="1" applyAlignment="1">
      <alignment horizontal="center" vertical="center"/>
    </xf>
    <xf numFmtId="181" fontId="42" fillId="0" borderId="1" xfId="4" applyNumberFormat="1" applyFont="1" applyFill="1" applyBorder="1" applyAlignment="1">
      <alignment horizontal="center" vertical="center"/>
    </xf>
    <xf numFmtId="182" fontId="42" fillId="0" borderId="1" xfId="4" applyNumberFormat="1" applyFont="1" applyFill="1" applyBorder="1" applyAlignment="1">
      <alignment horizontal="right" vertical="center"/>
    </xf>
    <xf numFmtId="0" fontId="44" fillId="0" borderId="24" xfId="1" applyFont="1" applyBorder="1" applyAlignment="1">
      <alignment horizontal="center" vertical="center"/>
    </xf>
    <xf numFmtId="183" fontId="42" fillId="0" borderId="25" xfId="3" applyNumberFormat="1" applyFont="1" applyFill="1" applyBorder="1" applyAlignment="1">
      <alignment vertical="center"/>
    </xf>
    <xf numFmtId="0" fontId="37" fillId="0" borderId="25" xfId="1" applyFont="1" applyBorder="1" applyAlignment="1">
      <alignment vertical="center"/>
    </xf>
    <xf numFmtId="180" fontId="42" fillId="0" borderId="17" xfId="1" applyNumberFormat="1" applyFont="1" applyBorder="1" applyAlignment="1">
      <alignment vertical="center"/>
    </xf>
    <xf numFmtId="180" fontId="42" fillId="3" borderId="17" xfId="1" applyNumberFormat="1" applyFont="1" applyFill="1" applyBorder="1" applyAlignment="1">
      <alignment vertical="center"/>
    </xf>
    <xf numFmtId="181" fontId="42" fillId="0" borderId="17" xfId="4" applyNumberFormat="1" applyFont="1" applyFill="1" applyBorder="1" applyAlignment="1">
      <alignment horizontal="center" vertical="center"/>
    </xf>
    <xf numFmtId="180" fontId="42" fillId="0" borderId="18" xfId="1" applyNumberFormat="1" applyFont="1" applyBorder="1" applyAlignment="1">
      <alignment vertical="center"/>
    </xf>
    <xf numFmtId="0" fontId="45" fillId="9" borderId="27" xfId="1" applyFont="1" applyFill="1" applyBorder="1" applyAlignment="1">
      <alignment vertical="center"/>
    </xf>
    <xf numFmtId="184" fontId="45" fillId="9" borderId="5" xfId="1" applyNumberFormat="1" applyFont="1" applyFill="1" applyBorder="1" applyAlignment="1">
      <alignment vertical="center"/>
    </xf>
    <xf numFmtId="177" fontId="37" fillId="9" borderId="4" xfId="1" applyNumberFormat="1" applyFont="1" applyFill="1" applyBorder="1" applyAlignment="1">
      <alignment vertical="center"/>
    </xf>
    <xf numFmtId="185" fontId="37" fillId="9" borderId="4" xfId="1" applyNumberFormat="1" applyFont="1" applyFill="1" applyBorder="1" applyAlignment="1">
      <alignment vertical="center"/>
    </xf>
    <xf numFmtId="180" fontId="46" fillId="9" borderId="28" xfId="1" applyNumberFormat="1" applyFont="1" applyFill="1" applyBorder="1" applyAlignment="1">
      <alignment vertical="center"/>
    </xf>
    <xf numFmtId="180" fontId="46" fillId="9" borderId="29" xfId="1" applyNumberFormat="1" applyFont="1" applyFill="1" applyBorder="1" applyAlignment="1">
      <alignment vertical="center"/>
    </xf>
    <xf numFmtId="181" fontId="46" fillId="9" borderId="29" xfId="4" applyNumberFormat="1" applyFont="1" applyFill="1" applyBorder="1" applyAlignment="1">
      <alignment horizontal="center" vertical="center"/>
    </xf>
    <xf numFmtId="180" fontId="46" fillId="9" borderId="30" xfId="1" applyNumberFormat="1" applyFont="1" applyFill="1" applyBorder="1" applyAlignment="1">
      <alignment vertical="center"/>
    </xf>
    <xf numFmtId="180" fontId="46" fillId="9" borderId="31" xfId="1" applyNumberFormat="1" applyFont="1" applyFill="1" applyBorder="1" applyAlignment="1">
      <alignment vertical="center"/>
    </xf>
    <xf numFmtId="0" fontId="45" fillId="9" borderId="32" xfId="1" applyFont="1" applyFill="1" applyBorder="1" applyAlignment="1">
      <alignment vertical="center"/>
    </xf>
    <xf numFmtId="0" fontId="45" fillId="9" borderId="33" xfId="1" applyFont="1" applyFill="1" applyBorder="1" applyAlignment="1">
      <alignment horizontal="center" vertical="center"/>
    </xf>
    <xf numFmtId="177" fontId="43" fillId="9" borderId="34" xfId="1" applyNumberFormat="1" applyFont="1" applyFill="1" applyBorder="1" applyAlignment="1">
      <alignment horizontal="center" vertical="center"/>
    </xf>
    <xf numFmtId="185" fontId="43" fillId="9" borderId="34" xfId="1" applyNumberFormat="1" applyFont="1" applyFill="1" applyBorder="1" applyAlignment="1">
      <alignment vertical="center"/>
    </xf>
    <xf numFmtId="180" fontId="45" fillId="9" borderId="35" xfId="1" applyNumberFormat="1" applyFont="1" applyFill="1" applyBorder="1" applyAlignment="1">
      <alignment vertical="center"/>
    </xf>
    <xf numFmtId="9" fontId="45" fillId="9" borderId="36" xfId="1" applyNumberFormat="1" applyFont="1" applyFill="1" applyBorder="1" applyAlignment="1">
      <alignment horizontal="center" vertical="center"/>
    </xf>
    <xf numFmtId="180" fontId="41" fillId="8" borderId="36" xfId="1" applyNumberFormat="1" applyFont="1" applyFill="1" applyBorder="1" applyAlignment="1">
      <alignment vertical="center"/>
    </xf>
    <xf numFmtId="0" fontId="45" fillId="9" borderId="36" xfId="1" applyFont="1" applyFill="1" applyBorder="1" applyAlignment="1">
      <alignment vertical="center"/>
    </xf>
    <xf numFmtId="0" fontId="45" fillId="9" borderId="37" xfId="1" applyFont="1" applyFill="1" applyBorder="1" applyAlignment="1">
      <alignment vertical="center"/>
    </xf>
    <xf numFmtId="180" fontId="45" fillId="9" borderId="38" xfId="1" applyNumberFormat="1" applyFont="1" applyFill="1" applyBorder="1" applyAlignment="1">
      <alignment vertical="center"/>
    </xf>
    <xf numFmtId="0" fontId="45" fillId="0" borderId="0" xfId="1" applyFont="1" applyAlignment="1">
      <alignment vertical="center"/>
    </xf>
    <xf numFmtId="0" fontId="45" fillId="0" borderId="0" xfId="1" applyFont="1" applyAlignment="1">
      <alignment horizontal="center" vertical="center"/>
    </xf>
    <xf numFmtId="0" fontId="45" fillId="0" borderId="9" xfId="1" applyFont="1" applyBorder="1" applyAlignment="1">
      <alignment horizontal="right" vertical="center"/>
    </xf>
    <xf numFmtId="186" fontId="45" fillId="0" borderId="9" xfId="1" applyNumberFormat="1" applyFont="1" applyBorder="1" applyAlignment="1">
      <alignment vertical="center"/>
    </xf>
    <xf numFmtId="0" fontId="45" fillId="0" borderId="9" xfId="1" applyFont="1" applyBorder="1" applyAlignment="1">
      <alignment vertical="center"/>
    </xf>
    <xf numFmtId="180" fontId="45" fillId="0" borderId="9" xfId="1" applyNumberFormat="1" applyFont="1" applyBorder="1" applyAlignment="1">
      <alignment horizontal="right" vertical="center"/>
    </xf>
    <xf numFmtId="187" fontId="45" fillId="0" borderId="9" xfId="1" applyNumberFormat="1" applyFont="1" applyBorder="1" applyAlignment="1">
      <alignment horizontal="center" vertical="center"/>
    </xf>
    <xf numFmtId="180" fontId="41" fillId="0" borderId="9" xfId="1" applyNumberFormat="1" applyFont="1" applyBorder="1" applyAlignment="1">
      <alignment vertical="center"/>
    </xf>
    <xf numFmtId="0" fontId="45" fillId="0" borderId="0" xfId="1" applyFont="1" applyAlignment="1">
      <alignment horizontal="right" vertical="center"/>
    </xf>
    <xf numFmtId="186" fontId="45" fillId="0" borderId="0" xfId="1" applyNumberFormat="1" applyFont="1" applyAlignment="1">
      <alignment vertical="center"/>
    </xf>
    <xf numFmtId="0" fontId="26" fillId="0" borderId="0" xfId="1" applyFont="1" applyAlignment="1">
      <alignment vertical="center"/>
    </xf>
    <xf numFmtId="0" fontId="27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0" fontId="47" fillId="0" borderId="0" xfId="1" applyFont="1" applyAlignment="1">
      <alignment vertical="center"/>
    </xf>
    <xf numFmtId="188" fontId="37" fillId="0" borderId="0" xfId="1" applyNumberFormat="1" applyFont="1" applyAlignment="1">
      <alignment vertical="center"/>
    </xf>
    <xf numFmtId="0" fontId="27" fillId="3" borderId="31" xfId="1" applyFont="1" applyFill="1" applyBorder="1" applyAlignment="1">
      <alignment horizontal="center" vertical="center"/>
    </xf>
    <xf numFmtId="0" fontId="27" fillId="3" borderId="29" xfId="1" applyFont="1" applyFill="1" applyBorder="1" applyAlignment="1">
      <alignment horizontal="center" vertical="center"/>
    </xf>
    <xf numFmtId="0" fontId="27" fillId="3" borderId="39" xfId="1" applyFont="1" applyFill="1" applyBorder="1" applyAlignment="1">
      <alignment horizontal="center" vertical="center"/>
    </xf>
    <xf numFmtId="0" fontId="37" fillId="3" borderId="31" xfId="1" applyFont="1" applyFill="1" applyBorder="1" applyAlignment="1">
      <alignment horizontal="center" vertical="center"/>
    </xf>
    <xf numFmtId="0" fontId="37" fillId="3" borderId="29" xfId="1" applyFont="1" applyFill="1" applyBorder="1" applyAlignment="1">
      <alignment horizontal="center" vertical="center"/>
    </xf>
    <xf numFmtId="0" fontId="37" fillId="3" borderId="30" xfId="1" applyFont="1" applyFill="1" applyBorder="1" applyAlignment="1">
      <alignment horizontal="center" vertical="center"/>
    </xf>
    <xf numFmtId="0" fontId="37" fillId="0" borderId="31" xfId="1" applyFont="1" applyBorder="1" applyAlignment="1">
      <alignment horizontal="center" vertical="center"/>
    </xf>
    <xf numFmtId="0" fontId="37" fillId="0" borderId="29" xfId="1" applyFont="1" applyBorder="1" applyAlignment="1">
      <alignment horizontal="center" vertical="center"/>
    </xf>
    <xf numFmtId="0" fontId="37" fillId="0" borderId="29" xfId="1" applyFont="1" applyBorder="1" applyAlignment="1">
      <alignment horizontal="center" vertical="center" wrapText="1"/>
    </xf>
    <xf numFmtId="0" fontId="42" fillId="0" borderId="41" xfId="1" applyFont="1" applyBorder="1" applyAlignment="1">
      <alignment vertical="center"/>
    </xf>
    <xf numFmtId="0" fontId="42" fillId="0" borderId="42" xfId="1" applyFont="1" applyBorder="1" applyAlignment="1">
      <alignment vertical="center" shrinkToFit="1"/>
    </xf>
    <xf numFmtId="180" fontId="37" fillId="0" borderId="43" xfId="1" applyNumberFormat="1" applyFont="1" applyBorder="1" applyAlignment="1">
      <alignment vertical="center"/>
    </xf>
    <xf numFmtId="0" fontId="37" fillId="0" borderId="15" xfId="1" applyFont="1" applyBorder="1" applyAlignment="1">
      <alignment vertical="center"/>
    </xf>
    <xf numFmtId="3" fontId="37" fillId="0" borderId="1" xfId="1" applyNumberFormat="1" applyFont="1" applyBorder="1" applyAlignment="1">
      <alignment vertical="center"/>
    </xf>
    <xf numFmtId="189" fontId="37" fillId="0" borderId="1" xfId="1" applyNumberFormat="1" applyFont="1" applyBorder="1" applyAlignment="1">
      <alignment vertical="center"/>
    </xf>
    <xf numFmtId="189" fontId="37" fillId="0" borderId="1" xfId="1" applyNumberFormat="1" applyFont="1" applyBorder="1" applyAlignment="1">
      <alignment horizontal="right" vertical="center"/>
    </xf>
    <xf numFmtId="190" fontId="45" fillId="3" borderId="14" xfId="1" applyNumberFormat="1" applyFont="1" applyFill="1" applyBorder="1" applyAlignment="1">
      <alignment horizontal="center" vertical="center"/>
    </xf>
    <xf numFmtId="188" fontId="37" fillId="0" borderId="14" xfId="1" applyNumberFormat="1" applyFont="1" applyBorder="1" applyAlignment="1">
      <alignment vertical="center"/>
    </xf>
    <xf numFmtId="180" fontId="37" fillId="0" borderId="38" xfId="1" applyNumberFormat="1" applyFont="1" applyBorder="1" applyAlignment="1">
      <alignment vertical="center"/>
    </xf>
    <xf numFmtId="190" fontId="37" fillId="0" borderId="36" xfId="1" applyNumberFormat="1" applyFont="1" applyBorder="1" applyAlignment="1">
      <alignment vertical="center"/>
    </xf>
    <xf numFmtId="0" fontId="37" fillId="0" borderId="36" xfId="1" applyFont="1" applyBorder="1" applyAlignment="1">
      <alignment horizontal="center" vertical="center"/>
    </xf>
    <xf numFmtId="0" fontId="42" fillId="0" borderId="15" xfId="1" applyFont="1" applyBorder="1" applyAlignment="1">
      <alignment vertical="center"/>
    </xf>
    <xf numFmtId="0" fontId="42" fillId="0" borderId="1" xfId="1" applyFont="1" applyBorder="1" applyAlignment="1">
      <alignment vertical="center" shrinkToFit="1"/>
    </xf>
    <xf numFmtId="180" fontId="37" fillId="0" borderId="46" xfId="1" applyNumberFormat="1" applyFont="1" applyBorder="1" applyAlignment="1">
      <alignment vertical="center"/>
    </xf>
    <xf numFmtId="3" fontId="37" fillId="3" borderId="36" xfId="1" applyNumberFormat="1" applyFont="1" applyFill="1" applyBorder="1" applyAlignment="1">
      <alignment vertical="center"/>
    </xf>
    <xf numFmtId="188" fontId="37" fillId="3" borderId="37" xfId="1" applyNumberFormat="1" applyFont="1" applyFill="1" applyBorder="1" applyAlignment="1">
      <alignment vertical="center"/>
    </xf>
    <xf numFmtId="10" fontId="37" fillId="0" borderId="0" xfId="1" applyNumberFormat="1" applyFont="1" applyAlignment="1">
      <alignment vertical="center"/>
    </xf>
    <xf numFmtId="180" fontId="37" fillId="0" borderId="0" xfId="1" applyNumberFormat="1" applyFont="1" applyAlignment="1">
      <alignment vertical="center"/>
    </xf>
    <xf numFmtId="191" fontId="42" fillId="0" borderId="12" xfId="1" applyNumberFormat="1" applyFont="1" applyBorder="1" applyAlignment="1">
      <alignment horizontal="right" vertical="center"/>
    </xf>
    <xf numFmtId="191" fontId="37" fillId="0" borderId="12" xfId="1" applyNumberFormat="1" applyFont="1" applyBorder="1" applyAlignment="1">
      <alignment horizontal="right" vertical="center"/>
    </xf>
    <xf numFmtId="191" fontId="43" fillId="0" borderId="12" xfId="1" applyNumberFormat="1" applyFont="1" applyBorder="1" applyAlignment="1">
      <alignment horizontal="right" vertical="center"/>
    </xf>
    <xf numFmtId="191" fontId="37" fillId="0" borderId="26" xfId="1" applyNumberFormat="1" applyFont="1" applyBorder="1" applyAlignment="1">
      <alignment vertical="center"/>
    </xf>
    <xf numFmtId="43" fontId="26" fillId="0" borderId="0" xfId="1" applyNumberFormat="1" applyFont="1" applyAlignment="1">
      <alignment vertical="center"/>
    </xf>
    <xf numFmtId="0" fontId="51" fillId="0" borderId="0" xfId="5" applyFont="1">
      <alignment vertical="center"/>
    </xf>
    <xf numFmtId="0" fontId="51" fillId="0" borderId="0" xfId="5" applyFont="1" applyAlignment="1">
      <alignment horizontal="right" vertical="center"/>
    </xf>
    <xf numFmtId="0" fontId="51" fillId="0" borderId="0" xfId="5" applyFont="1" applyAlignment="1">
      <alignment horizontal="center" vertical="center"/>
    </xf>
    <xf numFmtId="192" fontId="51" fillId="0" borderId="0" xfId="5" applyNumberFormat="1" applyFont="1">
      <alignment vertical="center"/>
    </xf>
    <xf numFmtId="0" fontId="54" fillId="0" borderId="0" xfId="5" applyFont="1">
      <alignment vertical="center"/>
    </xf>
    <xf numFmtId="0" fontId="55" fillId="0" borderId="0" xfId="5" applyFont="1">
      <alignment vertical="center"/>
    </xf>
    <xf numFmtId="192" fontId="51" fillId="0" borderId="0" xfId="6" applyNumberFormat="1" applyFont="1">
      <alignment vertical="center"/>
    </xf>
    <xf numFmtId="0" fontId="57" fillId="0" borderId="0" xfId="5" applyFont="1" applyAlignment="1">
      <alignment horizontal="left" vertical="center"/>
    </xf>
    <xf numFmtId="0" fontId="57" fillId="0" borderId="0" xfId="5" applyFont="1" applyAlignment="1">
      <alignment horizontal="right" vertical="center"/>
    </xf>
    <xf numFmtId="0" fontId="57" fillId="0" borderId="0" xfId="5" applyFont="1" applyAlignment="1">
      <alignment horizontal="center" vertical="center"/>
    </xf>
    <xf numFmtId="0" fontId="51" fillId="0" borderId="1" xfId="5" applyFont="1" applyBorder="1">
      <alignment vertical="center"/>
    </xf>
    <xf numFmtId="0" fontId="51" fillId="0" borderId="0" xfId="5" applyFont="1" applyAlignment="1">
      <alignment horizontal="left" vertical="center"/>
    </xf>
    <xf numFmtId="177" fontId="51" fillId="0" borderId="0" xfId="6" applyNumberFormat="1" applyFont="1" applyFill="1" applyBorder="1" applyAlignment="1" applyProtection="1">
      <alignment horizontal="left" vertical="center"/>
    </xf>
    <xf numFmtId="0" fontId="51" fillId="11" borderId="1" xfId="5" applyFont="1" applyFill="1" applyBorder="1" applyAlignment="1">
      <alignment horizontal="center" vertical="center" wrapText="1"/>
    </xf>
    <xf numFmtId="192" fontId="51" fillId="11" borderId="1" xfId="6" applyNumberFormat="1" applyFont="1" applyFill="1" applyBorder="1" applyAlignment="1">
      <alignment horizontal="center" vertical="center" wrapText="1"/>
    </xf>
    <xf numFmtId="41" fontId="51" fillId="11" borderId="1" xfId="6" applyFont="1" applyFill="1" applyBorder="1" applyAlignment="1">
      <alignment horizontal="center" vertical="center" wrapText="1"/>
    </xf>
    <xf numFmtId="177" fontId="51" fillId="8" borderId="1" xfId="6" applyNumberFormat="1" applyFont="1" applyFill="1" applyBorder="1" applyAlignment="1" applyProtection="1">
      <alignment horizontal="left" vertical="center"/>
      <protection locked="0"/>
    </xf>
    <xf numFmtId="0" fontId="59" fillId="12" borderId="1" xfId="5" applyFont="1" applyFill="1" applyBorder="1">
      <alignment vertical="center"/>
    </xf>
    <xf numFmtId="190" fontId="60" fillId="12" borderId="1" xfId="7" applyNumberFormat="1" applyFont="1" applyFill="1" applyBorder="1" applyAlignment="1">
      <alignment vertical="center" wrapText="1" shrinkToFit="1"/>
    </xf>
    <xf numFmtId="191" fontId="59" fillId="12" borderId="1" xfId="6" applyNumberFormat="1" applyFont="1" applyFill="1" applyBorder="1" applyAlignment="1">
      <alignment vertical="center" wrapText="1"/>
    </xf>
    <xf numFmtId="181" fontId="51" fillId="0" borderId="1" xfId="8" applyNumberFormat="1" applyFont="1" applyFill="1" applyBorder="1" applyAlignment="1">
      <alignment vertical="center" wrapText="1"/>
    </xf>
    <xf numFmtId="43" fontId="51" fillId="0" borderId="1" xfId="5" applyNumberFormat="1" applyFont="1" applyBorder="1">
      <alignment vertical="center"/>
    </xf>
    <xf numFmtId="181" fontId="51" fillId="0" borderId="1" xfId="8" applyNumberFormat="1" applyFont="1" applyFill="1" applyBorder="1">
      <alignment vertical="center"/>
    </xf>
    <xf numFmtId="0" fontId="57" fillId="13" borderId="0" xfId="5" applyFont="1" applyFill="1" applyAlignment="1">
      <alignment horizontal="left" vertical="center"/>
    </xf>
    <xf numFmtId="0" fontId="54" fillId="13" borderId="0" xfId="5" applyFont="1" applyFill="1" applyAlignment="1">
      <alignment horizontal="left" vertical="center"/>
    </xf>
    <xf numFmtId="0" fontId="54" fillId="13" borderId="0" xfId="5" applyFont="1" applyFill="1" applyAlignment="1">
      <alignment horizontal="right" vertical="center"/>
    </xf>
    <xf numFmtId="177" fontId="54" fillId="13" borderId="0" xfId="6" applyNumberFormat="1" applyFont="1" applyFill="1" applyBorder="1" applyAlignment="1" applyProtection="1">
      <alignment horizontal="left" vertical="center"/>
    </xf>
    <xf numFmtId="0" fontId="54" fillId="13" borderId="0" xfId="5" applyFont="1" applyFill="1" applyAlignment="1">
      <alignment horizontal="center" vertical="center"/>
    </xf>
    <xf numFmtId="0" fontId="54" fillId="13" borderId="0" xfId="5" applyFont="1" applyFill="1">
      <alignment vertical="center"/>
    </xf>
    <xf numFmtId="0" fontId="51" fillId="0" borderId="47" xfId="5" applyFont="1" applyBorder="1" applyAlignment="1">
      <alignment horizontal="left" vertical="center"/>
    </xf>
    <xf numFmtId="0" fontId="51" fillId="0" borderId="21" xfId="5" applyFont="1" applyBorder="1">
      <alignment vertical="center"/>
    </xf>
    <xf numFmtId="0" fontId="51" fillId="0" borderId="44" xfId="5" applyFont="1" applyBorder="1">
      <alignment vertical="center"/>
    </xf>
    <xf numFmtId="191" fontId="51" fillId="8" borderId="1" xfId="6" applyNumberFormat="1" applyFont="1" applyFill="1" applyBorder="1" applyProtection="1">
      <alignment vertical="center"/>
      <protection locked="0"/>
    </xf>
    <xf numFmtId="0" fontId="59" fillId="12" borderId="1" xfId="5" applyFont="1" applyFill="1" applyBorder="1" applyAlignment="1">
      <alignment vertical="center" wrapText="1"/>
    </xf>
    <xf numFmtId="0" fontId="51" fillId="0" borderId="21" xfId="5" applyFont="1" applyBorder="1" applyAlignment="1">
      <alignment horizontal="left" vertical="center"/>
    </xf>
    <xf numFmtId="0" fontId="51" fillId="0" borderId="44" xfId="5" applyFont="1" applyBorder="1" applyAlignment="1">
      <alignment horizontal="left" vertical="center"/>
    </xf>
    <xf numFmtId="191" fontId="51" fillId="8" borderId="1" xfId="5" applyNumberFormat="1" applyFont="1" applyFill="1" applyBorder="1" applyProtection="1">
      <alignment vertical="center"/>
      <protection locked="0"/>
    </xf>
    <xf numFmtId="41" fontId="51" fillId="8" borderId="1" xfId="5" applyNumberFormat="1" applyFont="1" applyFill="1" applyBorder="1" applyProtection="1">
      <alignment vertical="center"/>
      <protection locked="0"/>
    </xf>
    <xf numFmtId="41" fontId="51" fillId="8" borderId="1" xfId="6" applyFont="1" applyFill="1" applyBorder="1" applyProtection="1">
      <alignment vertical="center"/>
      <protection locked="0"/>
    </xf>
    <xf numFmtId="0" fontId="51" fillId="0" borderId="44" xfId="5" applyFont="1" applyBorder="1" applyAlignment="1">
      <alignment horizontal="center" vertical="center"/>
    </xf>
    <xf numFmtId="181" fontId="51" fillId="8" borderId="1" xfId="8" applyNumberFormat="1" applyFont="1" applyFill="1" applyBorder="1" applyProtection="1">
      <alignment vertical="center"/>
      <protection locked="0"/>
    </xf>
    <xf numFmtId="177" fontId="51" fillId="12" borderId="1" xfId="6" applyNumberFormat="1" applyFont="1" applyFill="1" applyBorder="1" applyProtection="1">
      <alignment vertical="center"/>
    </xf>
    <xf numFmtId="0" fontId="51" fillId="0" borderId="47" xfId="5" applyFont="1" applyBorder="1">
      <alignment vertical="center"/>
    </xf>
    <xf numFmtId="177" fontId="51" fillId="0" borderId="1" xfId="6" applyNumberFormat="1" applyFont="1" applyFill="1" applyBorder="1" applyProtection="1">
      <alignment vertical="center"/>
    </xf>
    <xf numFmtId="0" fontId="51" fillId="0" borderId="1" xfId="5" applyFont="1" applyBorder="1" applyAlignment="1">
      <alignment horizontal="center" vertical="center"/>
    </xf>
    <xf numFmtId="0" fontId="51" fillId="12" borderId="47" xfId="5" applyFont="1" applyFill="1" applyBorder="1" applyAlignment="1">
      <alignment horizontal="left" vertical="center"/>
    </xf>
    <xf numFmtId="0" fontId="61" fillId="12" borderId="21" xfId="5" applyFont="1" applyFill="1" applyBorder="1" applyAlignment="1">
      <alignment horizontal="left" vertical="center"/>
    </xf>
    <xf numFmtId="0" fontId="51" fillId="14" borderId="4" xfId="5" applyFont="1" applyFill="1" applyBorder="1" applyAlignment="1" applyProtection="1">
      <alignment horizontal="right" vertical="center"/>
      <protection locked="0"/>
    </xf>
    <xf numFmtId="0" fontId="62" fillId="13" borderId="0" xfId="5" applyFont="1" applyFill="1" applyAlignment="1">
      <alignment horizontal="left" vertical="center"/>
    </xf>
    <xf numFmtId="190" fontId="60" fillId="12" borderId="1" xfId="7" applyNumberFormat="1" applyFont="1" applyFill="1" applyBorder="1" applyAlignment="1">
      <alignment vertical="center" wrapText="1"/>
    </xf>
    <xf numFmtId="0" fontId="61" fillId="12" borderId="47" xfId="5" applyFont="1" applyFill="1" applyBorder="1" applyAlignment="1">
      <alignment horizontal="left" vertical="center"/>
    </xf>
    <xf numFmtId="0" fontId="51" fillId="14" borderId="48" xfId="5" applyFont="1" applyFill="1" applyBorder="1" applyAlignment="1" applyProtection="1">
      <alignment horizontal="right" vertical="center"/>
      <protection locked="0"/>
    </xf>
    <xf numFmtId="43" fontId="59" fillId="12" borderId="1" xfId="5" applyNumberFormat="1" applyFont="1" applyFill="1" applyBorder="1">
      <alignment vertical="center"/>
    </xf>
    <xf numFmtId="0" fontId="51" fillId="12" borderId="0" xfId="5" applyFont="1" applyFill="1">
      <alignment vertical="center"/>
    </xf>
    <xf numFmtId="41" fontId="51" fillId="0" borderId="47" xfId="6" applyFont="1" applyFill="1" applyBorder="1" applyProtection="1">
      <alignment vertical="center"/>
    </xf>
    <xf numFmtId="43" fontId="51" fillId="0" borderId="21" xfId="5" applyNumberFormat="1" applyFont="1" applyBorder="1">
      <alignment vertical="center"/>
    </xf>
    <xf numFmtId="0" fontId="54" fillId="0" borderId="44" xfId="5" applyFont="1" applyBorder="1">
      <alignment vertical="center"/>
    </xf>
    <xf numFmtId="192" fontId="61" fillId="11" borderId="1" xfId="6" applyNumberFormat="1" applyFont="1" applyFill="1" applyBorder="1">
      <alignment vertical="center"/>
    </xf>
    <xf numFmtId="191" fontId="51" fillId="0" borderId="1" xfId="6" applyNumberFormat="1" applyFont="1" applyFill="1" applyBorder="1" applyAlignment="1">
      <alignment vertical="center"/>
    </xf>
    <xf numFmtId="192" fontId="61" fillId="3" borderId="1" xfId="6" applyNumberFormat="1" applyFont="1" applyFill="1" applyBorder="1">
      <alignment vertical="center"/>
    </xf>
    <xf numFmtId="191" fontId="51" fillId="3" borderId="1" xfId="6" applyNumberFormat="1" applyFont="1" applyFill="1" applyBorder="1" applyAlignment="1">
      <alignment vertical="center"/>
    </xf>
    <xf numFmtId="181" fontId="51" fillId="3" borderId="1" xfId="8" applyNumberFormat="1" applyFont="1" applyFill="1" applyBorder="1" applyAlignment="1">
      <alignment vertical="center" wrapText="1"/>
    </xf>
    <xf numFmtId="43" fontId="51" fillId="3" borderId="1" xfId="5" applyNumberFormat="1" applyFont="1" applyFill="1" applyBorder="1">
      <alignment vertical="center"/>
    </xf>
    <xf numFmtId="181" fontId="51" fillId="3" borderId="1" xfId="5" applyNumberFormat="1" applyFont="1" applyFill="1" applyBorder="1">
      <alignment vertical="center"/>
    </xf>
    <xf numFmtId="41" fontId="51" fillId="0" borderId="1" xfId="6" applyFont="1" applyFill="1" applyBorder="1" applyProtection="1">
      <alignment vertical="center"/>
    </xf>
    <xf numFmtId="177" fontId="51" fillId="3" borderId="1" xfId="6" applyNumberFormat="1" applyFont="1" applyFill="1" applyBorder="1" applyAlignment="1" applyProtection="1">
      <alignment horizontal="left" vertical="center"/>
    </xf>
    <xf numFmtId="0" fontId="51" fillId="3" borderId="1" xfId="5" applyFont="1" applyFill="1" applyBorder="1" applyAlignment="1">
      <alignment horizontal="left" vertical="center"/>
    </xf>
    <xf numFmtId="181" fontId="51" fillId="0" borderId="1" xfId="5" applyNumberFormat="1" applyFont="1" applyBorder="1">
      <alignment vertical="center"/>
    </xf>
    <xf numFmtId="191" fontId="51" fillId="0" borderId="1" xfId="5" applyNumberFormat="1" applyFont="1" applyBorder="1">
      <alignment vertical="center"/>
    </xf>
    <xf numFmtId="191" fontId="51" fillId="0" borderId="0" xfId="5" applyNumberFormat="1" applyFont="1">
      <alignment vertical="center"/>
    </xf>
    <xf numFmtId="43" fontId="51" fillId="0" borderId="0" xfId="5" applyNumberFormat="1" applyFont="1">
      <alignment vertical="center"/>
    </xf>
    <xf numFmtId="194" fontId="51" fillId="0" borderId="0" xfId="5" applyNumberFormat="1" applyFont="1">
      <alignment vertical="center"/>
    </xf>
    <xf numFmtId="0" fontId="63" fillId="13" borderId="5" xfId="5" applyFont="1" applyFill="1" applyBorder="1" applyAlignment="1">
      <alignment horizontal="left" vertical="center"/>
    </xf>
    <xf numFmtId="0" fontId="54" fillId="13" borderId="9" xfId="5" applyFont="1" applyFill="1" applyBorder="1" applyAlignment="1">
      <alignment horizontal="left" vertical="center"/>
    </xf>
    <xf numFmtId="0" fontId="54" fillId="13" borderId="9" xfId="5" applyFont="1" applyFill="1" applyBorder="1" applyAlignment="1">
      <alignment horizontal="right" vertical="center"/>
    </xf>
    <xf numFmtId="0" fontId="51" fillId="14" borderId="29" xfId="5" applyFont="1" applyFill="1" applyBorder="1" applyAlignment="1" applyProtection="1">
      <alignment horizontal="right" vertical="center"/>
      <protection locked="0"/>
    </xf>
    <xf numFmtId="0" fontId="62" fillId="13" borderId="9" xfId="5" applyFont="1" applyFill="1" applyBorder="1" applyAlignment="1">
      <alignment horizontal="left" vertical="center"/>
    </xf>
    <xf numFmtId="0" fontId="54" fillId="13" borderId="9" xfId="5" applyFont="1" applyFill="1" applyBorder="1" applyAlignment="1">
      <alignment horizontal="center" vertical="center"/>
    </xf>
    <xf numFmtId="0" fontId="54" fillId="13" borderId="9" xfId="5" applyFont="1" applyFill="1" applyBorder="1">
      <alignment vertical="center"/>
    </xf>
    <xf numFmtId="0" fontId="54" fillId="13" borderId="2" xfId="5" applyFont="1" applyFill="1" applyBorder="1">
      <alignment vertical="center"/>
    </xf>
    <xf numFmtId="0" fontId="51" fillId="0" borderId="23" xfId="5" applyFont="1" applyBorder="1">
      <alignment vertical="center"/>
    </xf>
    <xf numFmtId="0" fontId="51" fillId="8" borderId="1" xfId="5" applyFont="1" applyFill="1" applyBorder="1" applyAlignment="1" applyProtection="1">
      <alignment horizontal="right" vertical="center"/>
      <protection locked="0"/>
    </xf>
    <xf numFmtId="41" fontId="51" fillId="0" borderId="0" xfId="6" applyFont="1" applyFill="1" applyBorder="1" applyAlignment="1" applyProtection="1">
      <alignment horizontal="center" vertical="center"/>
    </xf>
    <xf numFmtId="0" fontId="51" fillId="0" borderId="49" xfId="5" applyFont="1" applyBorder="1" applyAlignment="1">
      <alignment horizontal="center" vertical="center"/>
    </xf>
    <xf numFmtId="191" fontId="51" fillId="0" borderId="0" xfId="6" applyNumberFormat="1" applyFont="1" applyFill="1" applyBorder="1" applyAlignment="1" applyProtection="1">
      <alignment horizontal="left" vertical="center"/>
    </xf>
    <xf numFmtId="0" fontId="51" fillId="0" borderId="49" xfId="5" applyFont="1" applyBorder="1">
      <alignment vertical="center"/>
    </xf>
    <xf numFmtId="0" fontId="51" fillId="0" borderId="33" xfId="5" applyFont="1" applyBorder="1">
      <alignment vertical="center"/>
    </xf>
    <xf numFmtId="0" fontId="51" fillId="0" borderId="50" xfId="5" applyFont="1" applyBorder="1">
      <alignment vertical="center"/>
    </xf>
    <xf numFmtId="177" fontId="51" fillId="8" borderId="36" xfId="6" applyNumberFormat="1" applyFont="1" applyFill="1" applyBorder="1" applyAlignment="1" applyProtection="1">
      <alignment horizontal="left" vertical="center"/>
      <protection locked="0"/>
    </xf>
    <xf numFmtId="0" fontId="51" fillId="0" borderId="50" xfId="5" applyFont="1" applyBorder="1" applyAlignment="1">
      <alignment horizontal="left" vertical="center"/>
    </xf>
    <xf numFmtId="0" fontId="51" fillId="0" borderId="50" xfId="5" applyFont="1" applyBorder="1" applyAlignment="1">
      <alignment horizontal="center" vertical="center"/>
    </xf>
    <xf numFmtId="0" fontId="51" fillId="0" borderId="51" xfId="5" applyFont="1" applyBorder="1">
      <alignment vertical="center"/>
    </xf>
    <xf numFmtId="0" fontId="63" fillId="13" borderId="52" xfId="5" applyFont="1" applyFill="1" applyBorder="1" applyAlignment="1">
      <alignment horizontal="left" vertical="center"/>
    </xf>
    <xf numFmtId="0" fontId="54" fillId="13" borderId="53" xfId="5" applyFont="1" applyFill="1" applyBorder="1" applyAlignment="1">
      <alignment horizontal="left" vertical="center"/>
    </xf>
    <xf numFmtId="0" fontId="54" fillId="13" borderId="53" xfId="5" applyFont="1" applyFill="1" applyBorder="1" applyAlignment="1">
      <alignment horizontal="right" vertical="center"/>
    </xf>
    <xf numFmtId="0" fontId="51" fillId="14" borderId="54" xfId="5" applyFont="1" applyFill="1" applyBorder="1" applyAlignment="1" applyProtection="1">
      <alignment horizontal="right" vertical="center"/>
      <protection locked="0"/>
    </xf>
    <xf numFmtId="0" fontId="62" fillId="13" borderId="53" xfId="5" applyFont="1" applyFill="1" applyBorder="1" applyAlignment="1">
      <alignment horizontal="left" vertical="center"/>
    </xf>
    <xf numFmtId="0" fontId="54" fillId="13" borderId="53" xfId="5" applyFont="1" applyFill="1" applyBorder="1" applyAlignment="1">
      <alignment horizontal="center" vertical="center"/>
    </xf>
    <xf numFmtId="0" fontId="54" fillId="13" borderId="53" xfId="5" applyFont="1" applyFill="1" applyBorder="1">
      <alignment vertical="center"/>
    </xf>
    <xf numFmtId="0" fontId="54" fillId="13" borderId="55" xfId="5" applyFont="1" applyFill="1" applyBorder="1">
      <alignment vertical="center"/>
    </xf>
    <xf numFmtId="0" fontId="51" fillId="8" borderId="42" xfId="5" applyFont="1" applyFill="1" applyBorder="1" applyAlignment="1" applyProtection="1">
      <alignment horizontal="right" vertical="center"/>
      <protection locked="0"/>
    </xf>
    <xf numFmtId="0" fontId="51" fillId="8" borderId="1" xfId="5" applyFont="1" applyFill="1" applyBorder="1" applyAlignment="1" applyProtection="1">
      <alignment horizontal="center" vertical="center"/>
      <protection locked="0"/>
    </xf>
    <xf numFmtId="0" fontId="51" fillId="8" borderId="42" xfId="5" applyFont="1" applyFill="1" applyBorder="1" applyAlignment="1" applyProtection="1">
      <alignment horizontal="center" vertical="center"/>
      <protection locked="0"/>
    </xf>
    <xf numFmtId="195" fontId="51" fillId="0" borderId="0" xfId="5" applyNumberFormat="1" applyFont="1">
      <alignment vertical="center"/>
    </xf>
    <xf numFmtId="177" fontId="51" fillId="0" borderId="1" xfId="6" applyNumberFormat="1" applyFont="1" applyFill="1" applyBorder="1" applyAlignment="1" applyProtection="1">
      <alignment horizontal="left" vertical="center"/>
    </xf>
    <xf numFmtId="0" fontId="51" fillId="0" borderId="1" xfId="5" applyFont="1" applyBorder="1" applyAlignment="1">
      <alignment horizontal="left" vertical="center"/>
    </xf>
    <xf numFmtId="181" fontId="51" fillId="0" borderId="0" xfId="8" applyNumberFormat="1" applyFont="1" applyProtection="1">
      <alignment vertical="center"/>
    </xf>
    <xf numFmtId="0" fontId="54" fillId="0" borderId="0" xfId="5" applyFont="1" applyAlignment="1">
      <alignment horizontal="left" vertical="center"/>
    </xf>
    <xf numFmtId="0" fontId="61" fillId="15" borderId="47" xfId="5" applyFont="1" applyFill="1" applyBorder="1" applyAlignment="1">
      <alignment horizontal="left" vertical="center"/>
    </xf>
    <xf numFmtId="0" fontId="61" fillId="15" borderId="21" xfId="5" applyFont="1" applyFill="1" applyBorder="1" applyAlignment="1">
      <alignment horizontal="left" vertical="center"/>
    </xf>
    <xf numFmtId="0" fontId="61" fillId="15" borderId="44" xfId="5" applyFont="1" applyFill="1" applyBorder="1" applyAlignment="1">
      <alignment horizontal="left" vertical="center"/>
    </xf>
    <xf numFmtId="195" fontId="61" fillId="15" borderId="1" xfId="5" applyNumberFormat="1" applyFont="1" applyFill="1" applyBorder="1">
      <alignment vertical="center"/>
    </xf>
    <xf numFmtId="192" fontId="51" fillId="0" borderId="1" xfId="5" applyNumberFormat="1" applyFont="1" applyBorder="1">
      <alignment vertical="center"/>
    </xf>
    <xf numFmtId="0" fontId="51" fillId="0" borderId="1" xfId="5" quotePrefix="1" applyFont="1" applyBorder="1">
      <alignment vertical="center"/>
    </xf>
    <xf numFmtId="196" fontId="51" fillId="0" borderId="0" xfId="5" applyNumberFormat="1" applyFont="1">
      <alignment vertical="center"/>
    </xf>
    <xf numFmtId="43" fontId="51" fillId="0" borderId="0" xfId="5" quotePrefix="1" applyNumberFormat="1" applyFont="1">
      <alignment vertical="center"/>
    </xf>
    <xf numFmtId="191" fontId="61" fillId="15" borderId="1" xfId="6" applyNumberFormat="1" applyFont="1" applyFill="1" applyBorder="1" applyAlignment="1" applyProtection="1">
      <alignment horizontal="left" vertical="center"/>
    </xf>
    <xf numFmtId="0" fontId="61" fillId="15" borderId="21" xfId="5" applyFont="1" applyFill="1" applyBorder="1" applyAlignment="1">
      <alignment horizontal="center" vertical="center"/>
    </xf>
    <xf numFmtId="0" fontId="61" fillId="15" borderId="44" xfId="5" applyFont="1" applyFill="1" applyBorder="1" applyAlignment="1">
      <alignment horizontal="center" vertical="center"/>
    </xf>
    <xf numFmtId="197" fontId="51" fillId="0" borderId="0" xfId="5" applyNumberFormat="1" applyFont="1">
      <alignment vertical="center"/>
    </xf>
    <xf numFmtId="41" fontId="51" fillId="0" borderId="0" xfId="5" applyNumberFormat="1" applyFont="1">
      <alignment vertical="center"/>
    </xf>
    <xf numFmtId="177" fontId="51" fillId="0" borderId="0" xfId="6" applyNumberFormat="1" applyFont="1" applyAlignment="1" applyProtection="1">
      <alignment horizontal="left" vertical="center"/>
    </xf>
    <xf numFmtId="0" fontId="51" fillId="8" borderId="0" xfId="5" applyFont="1" applyFill="1">
      <alignment vertical="center"/>
    </xf>
    <xf numFmtId="177" fontId="51" fillId="0" borderId="0" xfId="6" applyNumberFormat="1" applyFont="1" applyAlignment="1">
      <alignment horizontal="left" vertical="center"/>
    </xf>
    <xf numFmtId="198" fontId="51" fillId="0" borderId="0" xfId="5" applyNumberFormat="1" applyFont="1" applyAlignment="1">
      <alignment horizontal="right" vertical="center"/>
    </xf>
    <xf numFmtId="0" fontId="3" fillId="0" borderId="0" xfId="0" applyFont="1">
      <alignment vertical="center"/>
    </xf>
    <xf numFmtId="0" fontId="26" fillId="0" borderId="0" xfId="0" applyFont="1">
      <alignment vertical="center"/>
    </xf>
    <xf numFmtId="0" fontId="64" fillId="0" borderId="0" xfId="0" applyFont="1">
      <alignment vertical="center"/>
    </xf>
    <xf numFmtId="0" fontId="47" fillId="0" borderId="0" xfId="0" applyFont="1">
      <alignment vertical="center"/>
    </xf>
    <xf numFmtId="0" fontId="38" fillId="0" borderId="0" xfId="0" applyFont="1">
      <alignment vertical="center"/>
    </xf>
    <xf numFmtId="0" fontId="26" fillId="0" borderId="0" xfId="0" applyFont="1" applyAlignment="1">
      <alignment horizontal="left" vertical="center" indent="1"/>
    </xf>
    <xf numFmtId="0" fontId="38" fillId="0" borderId="0" xfId="0" applyFont="1" applyAlignment="1">
      <alignment horizontal="left" vertical="center" indent="1"/>
    </xf>
    <xf numFmtId="0" fontId="27" fillId="0" borderId="0" xfId="0" applyFont="1" applyAlignment="1">
      <alignment horizontal="left" vertical="center" indent="1"/>
    </xf>
    <xf numFmtId="0" fontId="27" fillId="0" borderId="0" xfId="0" applyFont="1">
      <alignment vertical="center"/>
    </xf>
    <xf numFmtId="0" fontId="65" fillId="0" borderId="0" xfId="9" applyFont="1">
      <alignment vertical="center"/>
    </xf>
    <xf numFmtId="0" fontId="65" fillId="0" borderId="0" xfId="9" applyFont="1" applyAlignment="1">
      <alignment horizontal="center" vertical="center"/>
    </xf>
    <xf numFmtId="0" fontId="66" fillId="16" borderId="0" xfId="9" applyFont="1" applyFill="1" applyAlignment="1">
      <alignment horizontal="center" vertical="center"/>
    </xf>
    <xf numFmtId="0" fontId="66" fillId="0" borderId="0" xfId="9" applyFont="1" applyAlignment="1">
      <alignment horizontal="center" vertical="center"/>
    </xf>
    <xf numFmtId="0" fontId="65" fillId="16" borderId="0" xfId="9" applyFont="1" applyFill="1">
      <alignment vertical="center"/>
    </xf>
    <xf numFmtId="0" fontId="65" fillId="16" borderId="0" xfId="9" applyFont="1" applyFill="1" applyAlignment="1">
      <alignment horizontal="center" vertical="center"/>
    </xf>
    <xf numFmtId="14" fontId="67" fillId="0" borderId="0" xfId="9" applyNumberFormat="1" applyFont="1" applyAlignment="1">
      <alignment horizontal="right" vertical="center"/>
    </xf>
    <xf numFmtId="0" fontId="68" fillId="0" borderId="0" xfId="9" applyFont="1" applyAlignment="1">
      <alignment horizontal="left" vertical="center"/>
    </xf>
    <xf numFmtId="0" fontId="68" fillId="0" borderId="0" xfId="9" applyFont="1">
      <alignment vertical="center"/>
    </xf>
    <xf numFmtId="0" fontId="69" fillId="0" borderId="0" xfId="9" applyFont="1">
      <alignment vertical="center"/>
    </xf>
    <xf numFmtId="41" fontId="65" fillId="0" borderId="0" xfId="2" applyFont="1" applyFill="1" applyBorder="1" applyAlignment="1">
      <alignment horizontal="center" vertical="center"/>
    </xf>
    <xf numFmtId="0" fontId="68" fillId="3" borderId="0" xfId="9" applyFont="1" applyFill="1">
      <alignment vertical="center"/>
    </xf>
    <xf numFmtId="199" fontId="42" fillId="0" borderId="14" xfId="1" applyNumberFormat="1" applyFont="1" applyBorder="1" applyAlignment="1">
      <alignment vertical="center"/>
    </xf>
    <xf numFmtId="180" fontId="37" fillId="0" borderId="14" xfId="1" applyNumberFormat="1" applyFont="1" applyBorder="1" applyAlignment="1">
      <alignment vertical="center"/>
    </xf>
    <xf numFmtId="0" fontId="71" fillId="16" borderId="38" xfId="9" applyFont="1" applyFill="1" applyBorder="1" applyAlignment="1">
      <alignment horizontal="center" vertical="center"/>
    </xf>
    <xf numFmtId="0" fontId="71" fillId="16" borderId="1" xfId="9" applyFont="1" applyFill="1" applyBorder="1" applyAlignment="1">
      <alignment horizontal="center" vertical="center"/>
    </xf>
    <xf numFmtId="0" fontId="71" fillId="0" borderId="1" xfId="9" applyFont="1" applyBorder="1" applyAlignment="1">
      <alignment horizontal="center" vertical="center"/>
    </xf>
    <xf numFmtId="41" fontId="71" fillId="16" borderId="46" xfId="2" applyFont="1" applyFill="1" applyBorder="1" applyAlignment="1">
      <alignment vertical="center"/>
    </xf>
    <xf numFmtId="0" fontId="71" fillId="13" borderId="1" xfId="9" applyFont="1" applyFill="1" applyBorder="1" applyAlignment="1">
      <alignment horizontal="center" vertical="center"/>
    </xf>
    <xf numFmtId="0" fontId="71" fillId="0" borderId="1" xfId="9" applyFont="1" applyBorder="1">
      <alignment vertical="center"/>
    </xf>
    <xf numFmtId="191" fontId="71" fillId="0" borderId="1" xfId="2" applyNumberFormat="1" applyFont="1" applyFill="1" applyBorder="1">
      <alignment vertical="center"/>
    </xf>
    <xf numFmtId="0" fontId="71" fillId="16" borderId="39" xfId="9" applyFont="1" applyFill="1" applyBorder="1" applyAlignment="1">
      <alignment horizontal="left" vertical="center"/>
    </xf>
    <xf numFmtId="0" fontId="71" fillId="16" borderId="15" xfId="9" applyFont="1" applyFill="1" applyBorder="1" applyAlignment="1">
      <alignment horizontal="center" vertical="center"/>
    </xf>
    <xf numFmtId="0" fontId="71" fillId="0" borderId="36" xfId="9" applyFont="1" applyBorder="1" applyAlignment="1">
      <alignment horizontal="center" vertical="center"/>
    </xf>
    <xf numFmtId="0" fontId="71" fillId="0" borderId="36" xfId="9" applyFont="1" applyBorder="1">
      <alignment vertical="center"/>
    </xf>
    <xf numFmtId="0" fontId="71" fillId="0" borderId="0" xfId="9" applyFont="1">
      <alignment vertical="center"/>
    </xf>
    <xf numFmtId="0" fontId="72" fillId="16" borderId="0" xfId="9" applyFont="1" applyFill="1" applyAlignment="1">
      <alignment horizontal="center" vertical="center"/>
    </xf>
    <xf numFmtId="0" fontId="71" fillId="16" borderId="0" xfId="9" applyFont="1" applyFill="1">
      <alignment vertical="center"/>
    </xf>
    <xf numFmtId="0" fontId="71" fillId="0" borderId="58" xfId="9" applyFont="1" applyBorder="1">
      <alignment vertical="center"/>
    </xf>
    <xf numFmtId="0" fontId="76" fillId="3" borderId="0" xfId="9" applyFont="1" applyFill="1">
      <alignment vertical="center"/>
    </xf>
    <xf numFmtId="0" fontId="71" fillId="0" borderId="15" xfId="9" applyFont="1" applyBorder="1">
      <alignment vertical="center"/>
    </xf>
    <xf numFmtId="0" fontId="71" fillId="16" borderId="0" xfId="9" applyFont="1" applyFill="1" applyAlignment="1">
      <alignment horizontal="center" vertical="center"/>
    </xf>
    <xf numFmtId="0" fontId="71" fillId="16" borderId="23" xfId="9" applyFont="1" applyFill="1" applyBorder="1">
      <alignment vertical="center"/>
    </xf>
    <xf numFmtId="0" fontId="71" fillId="0" borderId="0" xfId="9" applyFont="1" applyAlignment="1">
      <alignment horizontal="center" vertical="center"/>
    </xf>
    <xf numFmtId="0" fontId="76" fillId="3" borderId="50" xfId="9" applyFont="1" applyFill="1" applyBorder="1">
      <alignment vertical="center"/>
    </xf>
    <xf numFmtId="200" fontId="71" fillId="0" borderId="45" xfId="9" applyNumberFormat="1" applyFont="1" applyBorder="1" applyAlignment="1">
      <alignment horizontal="right" vertical="center"/>
    </xf>
    <xf numFmtId="0" fontId="79" fillId="16" borderId="15" xfId="9" applyFont="1" applyFill="1" applyBorder="1" applyAlignment="1">
      <alignment horizontal="center" vertical="center"/>
    </xf>
    <xf numFmtId="0" fontId="80" fillId="0" borderId="15" xfId="9" applyFont="1" applyBorder="1">
      <alignment vertical="center"/>
    </xf>
    <xf numFmtId="0" fontId="80" fillId="0" borderId="58" xfId="9" applyFont="1" applyBorder="1">
      <alignment vertical="center"/>
    </xf>
    <xf numFmtId="0" fontId="79" fillId="16" borderId="39" xfId="9" applyFont="1" applyFill="1" applyBorder="1" applyAlignment="1">
      <alignment horizontal="left" vertical="center"/>
    </xf>
    <xf numFmtId="0" fontId="79" fillId="16" borderId="38" xfId="9" applyFont="1" applyFill="1" applyBorder="1" applyAlignment="1">
      <alignment horizontal="center" vertical="center"/>
    </xf>
    <xf numFmtId="200" fontId="80" fillId="0" borderId="45" xfId="9" applyNumberFormat="1" applyFont="1" applyBorder="1" applyAlignment="1">
      <alignment horizontal="right" vertical="center"/>
    </xf>
    <xf numFmtId="41" fontId="79" fillId="16" borderId="46" xfId="2" applyFont="1" applyFill="1" applyBorder="1" applyAlignment="1">
      <alignment vertical="center"/>
    </xf>
    <xf numFmtId="0" fontId="81" fillId="0" borderId="0" xfId="11" applyFont="1">
      <alignment vertical="center"/>
    </xf>
    <xf numFmtId="0" fontId="82" fillId="0" borderId="0" xfId="11" applyFont="1" applyAlignment="1"/>
    <xf numFmtId="0" fontId="81" fillId="0" borderId="0" xfId="11" applyFont="1" applyAlignment="1">
      <alignment horizontal="center" vertical="center"/>
    </xf>
    <xf numFmtId="0" fontId="75" fillId="0" borderId="0" xfId="11" applyFont="1" applyAlignment="1">
      <alignment shrinkToFit="1"/>
    </xf>
    <xf numFmtId="0" fontId="79" fillId="0" borderId="0" xfId="11" applyFont="1" applyAlignment="1">
      <alignment vertical="center" shrinkToFit="1"/>
    </xf>
    <xf numFmtId="0" fontId="74" fillId="0" borderId="23" xfId="11" applyFont="1" applyBorder="1" applyAlignment="1">
      <alignment vertical="center" shrinkToFit="1"/>
    </xf>
    <xf numFmtId="0" fontId="81" fillId="0" borderId="0" xfId="11" applyFont="1" applyAlignment="1">
      <alignment vertical="center" wrapText="1"/>
    </xf>
    <xf numFmtId="0" fontId="76" fillId="12" borderId="0" xfId="11" applyFont="1" applyFill="1" applyAlignment="1">
      <alignment vertical="center" shrinkToFit="1"/>
    </xf>
    <xf numFmtId="0" fontId="74" fillId="0" borderId="0" xfId="11" applyFont="1" applyAlignment="1">
      <alignment vertical="center" shrinkToFit="1"/>
    </xf>
    <xf numFmtId="0" fontId="79" fillId="0" borderId="50" xfId="11" applyFont="1" applyBorder="1" applyAlignment="1">
      <alignment vertical="center" shrinkToFit="1"/>
    </xf>
    <xf numFmtId="0" fontId="74" fillId="0" borderId="1" xfId="11" applyFont="1" applyBorder="1" applyAlignment="1">
      <alignment vertical="center" shrinkToFit="1"/>
    </xf>
    <xf numFmtId="0" fontId="84" fillId="12" borderId="0" xfId="11" applyFont="1" applyFill="1" applyAlignment="1">
      <alignment vertical="center" shrinkToFit="1"/>
    </xf>
    <xf numFmtId="0" fontId="81" fillId="12" borderId="0" xfId="11" applyFont="1" applyFill="1">
      <alignment vertical="center"/>
    </xf>
    <xf numFmtId="0" fontId="78" fillId="12" borderId="23" xfId="11" applyFont="1" applyFill="1" applyBorder="1" applyAlignment="1">
      <alignment horizontal="left" vertical="center" shrinkToFit="1"/>
    </xf>
    <xf numFmtId="0" fontId="78" fillId="12" borderId="0" xfId="11" applyFont="1" applyFill="1" applyAlignment="1">
      <alignment horizontal="left" vertical="center" shrinkToFit="1"/>
    </xf>
    <xf numFmtId="10" fontId="84" fillId="12" borderId="0" xfId="11" applyNumberFormat="1" applyFont="1" applyFill="1" applyAlignment="1">
      <alignment vertical="center" shrinkToFit="1"/>
    </xf>
    <xf numFmtId="189" fontId="81" fillId="0" borderId="1" xfId="11" applyNumberFormat="1" applyFont="1" applyBorder="1" applyAlignment="1">
      <alignment horizontal="right" vertical="center"/>
    </xf>
    <xf numFmtId="189" fontId="74" fillId="0" borderId="1" xfId="11" applyNumberFormat="1" applyFont="1" applyBorder="1" applyAlignment="1">
      <alignment horizontal="right" vertical="center" shrinkToFit="1"/>
    </xf>
    <xf numFmtId="203" fontId="84" fillId="12" borderId="0" xfId="11" applyNumberFormat="1" applyFont="1" applyFill="1" applyAlignment="1">
      <alignment vertical="center" shrinkToFit="1"/>
    </xf>
    <xf numFmtId="0" fontId="81" fillId="0" borderId="1" xfId="11" applyFont="1" applyBorder="1">
      <alignment vertical="center"/>
    </xf>
    <xf numFmtId="0" fontId="81" fillId="0" borderId="14" xfId="11" applyFont="1" applyBorder="1">
      <alignment vertical="center"/>
    </xf>
    <xf numFmtId="10" fontId="79" fillId="0" borderId="0" xfId="11" applyNumberFormat="1" applyFont="1" applyAlignment="1">
      <alignment horizontal="center" vertical="center"/>
    </xf>
    <xf numFmtId="0" fontId="65" fillId="16" borderId="9" xfId="9" applyFont="1" applyFill="1" applyBorder="1">
      <alignment vertical="center"/>
    </xf>
    <xf numFmtId="198" fontId="65" fillId="0" borderId="0" xfId="9" applyNumberFormat="1" applyFont="1">
      <alignment vertical="center"/>
    </xf>
    <xf numFmtId="10" fontId="65" fillId="0" borderId="0" xfId="9" applyNumberFormat="1" applyFont="1">
      <alignment vertical="center"/>
    </xf>
    <xf numFmtId="0" fontId="37" fillId="0" borderId="40" xfId="1" applyFont="1" applyBorder="1" applyAlignment="1">
      <alignment vertical="center" wrapText="1"/>
    </xf>
    <xf numFmtId="188" fontId="37" fillId="0" borderId="45" xfId="1" applyNumberFormat="1" applyFont="1" applyBorder="1" applyAlignment="1">
      <alignment vertical="center"/>
    </xf>
    <xf numFmtId="180" fontId="37" fillId="0" borderId="64" xfId="1" applyNumberFormat="1" applyFont="1" applyBorder="1" applyAlignment="1">
      <alignment vertical="center"/>
    </xf>
    <xf numFmtId="2" fontId="37" fillId="0" borderId="0" xfId="1" applyNumberFormat="1" applyFont="1" applyAlignment="1">
      <alignment vertical="center"/>
    </xf>
    <xf numFmtId="0" fontId="70" fillId="16" borderId="5" xfId="9" applyFont="1" applyFill="1" applyBorder="1" applyAlignment="1">
      <alignment vertical="center" wrapText="1"/>
    </xf>
    <xf numFmtId="0" fontId="70" fillId="16" borderId="9" xfId="9" applyFont="1" applyFill="1" applyBorder="1" applyAlignment="1">
      <alignment vertical="center" wrapText="1"/>
    </xf>
    <xf numFmtId="0" fontId="70" fillId="16" borderId="23" xfId="9" applyFont="1" applyFill="1" applyBorder="1" applyAlignment="1">
      <alignment vertical="center" wrapText="1"/>
    </xf>
    <xf numFmtId="0" fontId="70" fillId="16" borderId="0" xfId="9" applyFont="1" applyFill="1" applyAlignment="1">
      <alignment vertical="center" wrapText="1"/>
    </xf>
    <xf numFmtId="0" fontId="70" fillId="16" borderId="33" xfId="9" applyFont="1" applyFill="1" applyBorder="1" applyAlignment="1">
      <alignment vertical="center" wrapText="1"/>
    </xf>
    <xf numFmtId="0" fontId="70" fillId="16" borderId="50" xfId="9" applyFont="1" applyFill="1" applyBorder="1" applyAlignment="1">
      <alignment vertical="center" wrapText="1"/>
    </xf>
    <xf numFmtId="0" fontId="70" fillId="16" borderId="2" xfId="9" applyFont="1" applyFill="1" applyBorder="1" applyAlignment="1">
      <alignment vertical="center" wrapText="1"/>
    </xf>
    <xf numFmtId="0" fontId="70" fillId="16" borderId="49" xfId="9" applyFont="1" applyFill="1" applyBorder="1" applyAlignment="1">
      <alignment vertical="center" wrapText="1"/>
    </xf>
    <xf numFmtId="0" fontId="70" fillId="16" borderId="51" xfId="9" applyFont="1" applyFill="1" applyBorder="1" applyAlignment="1">
      <alignment vertical="center" wrapText="1"/>
    </xf>
    <xf numFmtId="186" fontId="81" fillId="0" borderId="0" xfId="11" applyNumberFormat="1" applyFont="1">
      <alignment vertical="center"/>
    </xf>
    <xf numFmtId="0" fontId="86" fillId="12" borderId="0" xfId="11" applyFont="1" applyFill="1" applyAlignment="1">
      <alignment vertical="center" shrinkToFit="1"/>
    </xf>
    <xf numFmtId="203" fontId="86" fillId="12" borderId="0" xfId="11" applyNumberFormat="1" applyFont="1" applyFill="1" applyAlignment="1">
      <alignment vertical="center" shrinkToFit="1"/>
    </xf>
    <xf numFmtId="181" fontId="81" fillId="0" borderId="0" xfId="11" applyNumberFormat="1" applyFont="1">
      <alignment vertical="center"/>
    </xf>
    <xf numFmtId="0" fontId="84" fillId="0" borderId="0" xfId="11" applyFont="1" applyAlignment="1">
      <alignment horizontal="center" vertical="center" shrinkToFit="1"/>
    </xf>
    <xf numFmtId="0" fontId="84" fillId="0" borderId="0" xfId="11" applyFont="1" applyAlignment="1">
      <alignment vertical="center" shrinkToFit="1"/>
    </xf>
    <xf numFmtId="203" fontId="84" fillId="0" borderId="0" xfId="11" applyNumberFormat="1" applyFont="1" applyAlignment="1">
      <alignment vertical="center" shrinkToFit="1"/>
    </xf>
    <xf numFmtId="0" fontId="81" fillId="16" borderId="58" xfId="9" applyFont="1" applyFill="1" applyBorder="1" applyAlignment="1">
      <alignment horizontal="center" vertical="center"/>
    </xf>
    <xf numFmtId="0" fontId="81" fillId="16" borderId="9" xfId="9" applyFont="1" applyFill="1" applyBorder="1" applyAlignment="1">
      <alignment horizontal="center" vertical="center"/>
    </xf>
    <xf numFmtId="0" fontId="81" fillId="16" borderId="6" xfId="9" applyFont="1" applyFill="1" applyBorder="1" applyAlignment="1">
      <alignment horizontal="center" vertical="center"/>
    </xf>
    <xf numFmtId="0" fontId="81" fillId="16" borderId="59" xfId="9" applyFont="1" applyFill="1" applyBorder="1" applyAlignment="1">
      <alignment horizontal="center" vertical="center"/>
    </xf>
    <xf numFmtId="0" fontId="81" fillId="16" borderId="50" xfId="9" applyFont="1" applyFill="1" applyBorder="1" applyAlignment="1">
      <alignment horizontal="center" vertical="center"/>
    </xf>
    <xf numFmtId="0" fontId="81" fillId="16" borderId="60" xfId="9" applyFont="1" applyFill="1" applyBorder="1" applyAlignment="1">
      <alignment horizontal="center" vertical="center"/>
    </xf>
    <xf numFmtId="0" fontId="79" fillId="16" borderId="45" xfId="9" applyFont="1" applyFill="1" applyBorder="1" applyAlignment="1">
      <alignment horizontal="center" vertical="center"/>
    </xf>
    <xf numFmtId="0" fontId="79" fillId="16" borderId="57" xfId="9" applyFont="1" applyFill="1" applyBorder="1" applyAlignment="1">
      <alignment horizontal="center" vertical="center"/>
    </xf>
    <xf numFmtId="0" fontId="79" fillId="16" borderId="35" xfId="9" applyFont="1" applyFill="1" applyBorder="1" applyAlignment="1">
      <alignment horizontal="center" vertical="center"/>
    </xf>
    <xf numFmtId="0" fontId="79" fillId="16" borderId="40" xfId="9" applyFont="1" applyFill="1" applyBorder="1" applyAlignment="1">
      <alignment horizontal="center" vertical="center"/>
    </xf>
    <xf numFmtId="0" fontId="79" fillId="16" borderId="56" xfId="9" applyFont="1" applyFill="1" applyBorder="1" applyAlignment="1">
      <alignment horizontal="center" vertical="center"/>
    </xf>
    <xf numFmtId="0" fontId="79" fillId="16" borderId="28" xfId="9" applyFont="1" applyFill="1" applyBorder="1" applyAlignment="1">
      <alignment horizontal="center" vertical="center"/>
    </xf>
    <xf numFmtId="0" fontId="73" fillId="16" borderId="0" xfId="9" applyFont="1" applyFill="1" applyAlignment="1">
      <alignment horizontal="center" vertical="center"/>
    </xf>
    <xf numFmtId="0" fontId="76" fillId="3" borderId="0" xfId="9" applyFont="1" applyFill="1" applyAlignment="1">
      <alignment horizontal="left" vertical="center"/>
    </xf>
    <xf numFmtId="0" fontId="79" fillId="13" borderId="31" xfId="9" applyFont="1" applyFill="1" applyBorder="1" applyAlignment="1">
      <alignment horizontal="center" vertical="center"/>
    </xf>
    <xf numFmtId="0" fontId="79" fillId="13" borderId="41" xfId="9" applyFont="1" applyFill="1" applyBorder="1" applyAlignment="1">
      <alignment horizontal="center" vertical="center"/>
    </xf>
    <xf numFmtId="0" fontId="79" fillId="13" borderId="15" xfId="9" applyFont="1" applyFill="1" applyBorder="1" applyAlignment="1">
      <alignment horizontal="center" vertical="center"/>
    </xf>
    <xf numFmtId="0" fontId="79" fillId="13" borderId="29" xfId="9" applyFont="1" applyFill="1" applyBorder="1" applyAlignment="1">
      <alignment horizontal="center" vertical="center"/>
    </xf>
    <xf numFmtId="0" fontId="79" fillId="13" borderId="30" xfId="9" applyFont="1" applyFill="1" applyBorder="1" applyAlignment="1">
      <alignment horizontal="center" vertical="center"/>
    </xf>
    <xf numFmtId="0" fontId="79" fillId="13" borderId="42" xfId="9" applyFont="1" applyFill="1" applyBorder="1" applyAlignment="1">
      <alignment horizontal="center" vertical="center"/>
    </xf>
    <xf numFmtId="0" fontId="79" fillId="13" borderId="63" xfId="9" applyFont="1" applyFill="1" applyBorder="1" applyAlignment="1">
      <alignment horizontal="center" vertical="center"/>
    </xf>
    <xf numFmtId="0" fontId="79" fillId="13" borderId="1" xfId="9" applyFont="1" applyFill="1" applyBorder="1" applyAlignment="1">
      <alignment horizontal="center" vertical="center"/>
    </xf>
    <xf numFmtId="0" fontId="79" fillId="13" borderId="14" xfId="9" applyFont="1" applyFill="1" applyBorder="1" applyAlignment="1">
      <alignment horizontal="center" vertical="center"/>
    </xf>
    <xf numFmtId="0" fontId="79" fillId="16" borderId="1" xfId="9" applyFont="1" applyFill="1" applyBorder="1" applyAlignment="1">
      <alignment horizontal="center" vertical="center"/>
    </xf>
    <xf numFmtId="0" fontId="79" fillId="12" borderId="1" xfId="9" applyFont="1" applyFill="1" applyBorder="1" applyAlignment="1">
      <alignment horizontal="center" vertical="center"/>
    </xf>
    <xf numFmtId="198" fontId="79" fillId="13" borderId="1" xfId="9" applyNumberFormat="1" applyFont="1" applyFill="1" applyBorder="1" applyAlignment="1">
      <alignment horizontal="center" vertical="center"/>
    </xf>
    <xf numFmtId="0" fontId="79" fillId="16" borderId="31" xfId="9" applyFont="1" applyFill="1" applyBorder="1" applyAlignment="1">
      <alignment horizontal="center" vertical="center"/>
    </xf>
    <xf numFmtId="0" fontId="79" fillId="16" borderId="38" xfId="9" applyFont="1" applyFill="1" applyBorder="1" applyAlignment="1">
      <alignment horizontal="center" vertical="center"/>
    </xf>
    <xf numFmtId="0" fontId="79" fillId="13" borderId="29" xfId="9" applyFont="1" applyFill="1" applyBorder="1" applyAlignment="1">
      <alignment horizontal="center" vertical="center" wrapText="1"/>
    </xf>
    <xf numFmtId="0" fontId="79" fillId="13" borderId="42" xfId="9" applyFont="1" applyFill="1" applyBorder="1" applyAlignment="1">
      <alignment horizontal="center" vertical="center" wrapText="1"/>
    </xf>
    <xf numFmtId="0" fontId="79" fillId="0" borderId="27" xfId="9" applyFont="1" applyBorder="1" applyAlignment="1">
      <alignment horizontal="center" vertical="center"/>
    </xf>
    <xf numFmtId="0" fontId="79" fillId="0" borderId="56" xfId="9" applyFont="1" applyBorder="1" applyAlignment="1">
      <alignment horizontal="center" vertical="center"/>
    </xf>
    <xf numFmtId="0" fontId="79" fillId="0" borderId="28" xfId="9" applyFont="1" applyBorder="1" applyAlignment="1">
      <alignment horizontal="center" vertical="center"/>
    </xf>
    <xf numFmtId="0" fontId="79" fillId="16" borderId="32" xfId="9" applyFont="1" applyFill="1" applyBorder="1" applyAlignment="1">
      <alignment horizontal="center" vertical="center"/>
    </xf>
    <xf numFmtId="0" fontId="79" fillId="16" borderId="57" xfId="9" applyFont="1" applyFill="1" applyBorder="1" applyAlignment="1">
      <alignment horizontal="left" vertical="center"/>
    </xf>
    <xf numFmtId="0" fontId="79" fillId="16" borderId="35" xfId="9" applyFont="1" applyFill="1" applyBorder="1" applyAlignment="1">
      <alignment horizontal="left" vertical="center"/>
    </xf>
    <xf numFmtId="198" fontId="79" fillId="16" borderId="1" xfId="9" applyNumberFormat="1" applyFont="1" applyFill="1" applyBorder="1" applyAlignment="1">
      <alignment horizontal="center" vertical="center"/>
    </xf>
    <xf numFmtId="0" fontId="79" fillId="16" borderId="29" xfId="9" applyFont="1" applyFill="1" applyBorder="1" applyAlignment="1">
      <alignment horizontal="center" vertical="center"/>
    </xf>
    <xf numFmtId="0" fontId="79" fillId="16" borderId="36" xfId="9" applyFont="1" applyFill="1" applyBorder="1" applyAlignment="1">
      <alignment horizontal="center" vertical="center"/>
    </xf>
    <xf numFmtId="0" fontId="79" fillId="16" borderId="14" xfId="9" applyFont="1" applyFill="1" applyBorder="1" applyAlignment="1">
      <alignment horizontal="center" vertical="center"/>
    </xf>
    <xf numFmtId="0" fontId="79" fillId="0" borderId="1" xfId="9" applyFont="1" applyBorder="1" applyAlignment="1">
      <alignment horizontal="center" vertical="center"/>
    </xf>
    <xf numFmtId="0" fontId="79" fillId="0" borderId="36" xfId="9" applyFont="1" applyBorder="1" applyAlignment="1">
      <alignment horizontal="center" vertical="center"/>
    </xf>
    <xf numFmtId="0" fontId="79" fillId="12" borderId="36" xfId="9" applyFont="1" applyFill="1" applyBorder="1" applyAlignment="1">
      <alignment horizontal="center" vertical="center"/>
    </xf>
    <xf numFmtId="0" fontId="80" fillId="0" borderId="1" xfId="9" applyFont="1" applyBorder="1" applyAlignment="1">
      <alignment horizontal="center" vertical="center"/>
    </xf>
    <xf numFmtId="14" fontId="75" fillId="16" borderId="0" xfId="9" applyNumberFormat="1" applyFont="1" applyFill="1" applyAlignment="1">
      <alignment horizontal="right" vertical="center"/>
    </xf>
    <xf numFmtId="0" fontId="75" fillId="16" borderId="0" xfId="9" applyFont="1" applyFill="1" applyAlignment="1">
      <alignment horizontal="right" vertical="center"/>
    </xf>
    <xf numFmtId="0" fontId="79" fillId="16" borderId="58" xfId="9" applyFont="1" applyFill="1" applyBorder="1" applyAlignment="1">
      <alignment horizontal="center" vertical="center"/>
    </xf>
    <xf numFmtId="0" fontId="79" fillId="16" borderId="6" xfId="9" applyFont="1" applyFill="1" applyBorder="1" applyAlignment="1">
      <alignment horizontal="center" vertical="center"/>
    </xf>
    <xf numFmtId="0" fontId="79" fillId="16" borderId="59" xfId="9" applyFont="1" applyFill="1" applyBorder="1" applyAlignment="1">
      <alignment horizontal="center" vertical="center"/>
    </xf>
    <xf numFmtId="0" fontId="79" fillId="16" borderId="60" xfId="9" applyFont="1" applyFill="1" applyBorder="1" applyAlignment="1">
      <alignment horizontal="center" vertical="center"/>
    </xf>
    <xf numFmtId="0" fontId="81" fillId="16" borderId="1" xfId="9" applyFont="1" applyFill="1" applyBorder="1" applyAlignment="1">
      <alignment horizontal="center" vertical="center"/>
    </xf>
    <xf numFmtId="0" fontId="81" fillId="16" borderId="14" xfId="9" applyFont="1" applyFill="1" applyBorder="1" applyAlignment="1">
      <alignment horizontal="center" vertical="center"/>
    </xf>
    <xf numFmtId="0" fontId="79" fillId="16" borderId="37" xfId="9" applyFont="1" applyFill="1" applyBorder="1" applyAlignment="1">
      <alignment horizontal="center" vertical="center"/>
    </xf>
    <xf numFmtId="0" fontId="79" fillId="16" borderId="47" xfId="9" applyFont="1" applyFill="1" applyBorder="1" applyAlignment="1">
      <alignment horizontal="center" vertical="center"/>
    </xf>
    <xf numFmtId="0" fontId="79" fillId="16" borderId="21" xfId="9" applyFont="1" applyFill="1" applyBorder="1" applyAlignment="1">
      <alignment horizontal="center" vertical="center"/>
    </xf>
    <xf numFmtId="0" fontId="79" fillId="16" borderId="44" xfId="9" applyFont="1" applyFill="1" applyBorder="1" applyAlignment="1">
      <alignment horizontal="center" vertical="center"/>
    </xf>
    <xf numFmtId="10" fontId="79" fillId="0" borderId="1" xfId="9" applyNumberFormat="1" applyFont="1" applyBorder="1" applyAlignment="1">
      <alignment horizontal="center" vertical="center"/>
    </xf>
    <xf numFmtId="0" fontId="79" fillId="13" borderId="47" xfId="9" applyFont="1" applyFill="1" applyBorder="1" applyAlignment="1">
      <alignment horizontal="center" vertical="center"/>
    </xf>
    <xf numFmtId="0" fontId="79" fillId="13" borderId="21" xfId="9" applyFont="1" applyFill="1" applyBorder="1" applyAlignment="1">
      <alignment horizontal="center" vertical="center"/>
    </xf>
    <xf numFmtId="0" fontId="81" fillId="16" borderId="47" xfId="9" applyFont="1" applyFill="1" applyBorder="1" applyAlignment="1">
      <alignment horizontal="center" vertical="center"/>
    </xf>
    <xf numFmtId="0" fontId="81" fillId="16" borderId="21" xfId="9" applyFont="1" applyFill="1" applyBorder="1" applyAlignment="1">
      <alignment horizontal="center" vertical="center"/>
    </xf>
    <xf numFmtId="0" fontId="79" fillId="13" borderId="40" xfId="9" applyFont="1" applyFill="1" applyBorder="1" applyAlignment="1">
      <alignment horizontal="center" vertical="center"/>
    </xf>
    <xf numFmtId="0" fontId="79" fillId="13" borderId="56" xfId="9" applyFont="1" applyFill="1" applyBorder="1" applyAlignment="1">
      <alignment horizontal="center" vertical="center"/>
    </xf>
    <xf numFmtId="0" fontId="81" fillId="16" borderId="44" xfId="9" applyFont="1" applyFill="1" applyBorder="1" applyAlignment="1">
      <alignment horizontal="center" vertical="center"/>
    </xf>
    <xf numFmtId="9" fontId="79" fillId="0" borderId="1" xfId="9" applyNumberFormat="1" applyFont="1" applyBorder="1" applyAlignment="1">
      <alignment horizontal="center" vertical="center"/>
    </xf>
    <xf numFmtId="0" fontId="79" fillId="0" borderId="38" xfId="9" applyFont="1" applyBorder="1" applyAlignment="1">
      <alignment horizontal="center" vertical="center"/>
    </xf>
    <xf numFmtId="200" fontId="79" fillId="0" borderId="36" xfId="2" applyNumberFormat="1" applyFont="1" applyFill="1" applyBorder="1" applyAlignment="1">
      <alignment horizontal="center" vertical="center"/>
    </xf>
    <xf numFmtId="177" fontId="79" fillId="0" borderId="36" xfId="2" applyNumberFormat="1" applyFont="1" applyFill="1" applyBorder="1" applyAlignment="1">
      <alignment horizontal="center" vertical="center"/>
    </xf>
    <xf numFmtId="0" fontId="84" fillId="0" borderId="28" xfId="11" applyFont="1" applyBorder="1" applyAlignment="1">
      <alignment horizontal="center" vertical="center" shrinkToFit="1"/>
    </xf>
    <xf numFmtId="0" fontId="84" fillId="0" borderId="29" xfId="11" applyFont="1" applyBorder="1" applyAlignment="1">
      <alignment horizontal="center" vertical="center" shrinkToFit="1"/>
    </xf>
    <xf numFmtId="0" fontId="84" fillId="0" borderId="40" xfId="11" applyFont="1" applyBorder="1" applyAlignment="1">
      <alignment horizontal="center" vertical="center"/>
    </xf>
    <xf numFmtId="0" fontId="84" fillId="0" borderId="56" xfId="11" applyFont="1" applyBorder="1" applyAlignment="1">
      <alignment horizontal="center" vertical="center"/>
    </xf>
    <xf numFmtId="0" fontId="84" fillId="0" borderId="28" xfId="11" applyFont="1" applyBorder="1" applyAlignment="1">
      <alignment horizontal="center" vertical="center"/>
    </xf>
    <xf numFmtId="0" fontId="75" fillId="0" borderId="40" xfId="11" applyFont="1" applyBorder="1" applyAlignment="1">
      <alignment horizontal="center" vertical="center"/>
    </xf>
    <xf numFmtId="0" fontId="75" fillId="0" borderId="56" xfId="11" applyFont="1" applyBorder="1" applyAlignment="1">
      <alignment horizontal="center" vertical="center"/>
    </xf>
    <xf numFmtId="0" fontId="75" fillId="0" borderId="28" xfId="11" applyFont="1" applyBorder="1" applyAlignment="1">
      <alignment horizontal="center" vertical="center"/>
    </xf>
    <xf numFmtId="0" fontId="75" fillId="0" borderId="40" xfId="11" applyFont="1" applyBorder="1" applyAlignment="1">
      <alignment horizontal="center" vertical="center" shrinkToFit="1"/>
    </xf>
    <xf numFmtId="0" fontId="75" fillId="0" borderId="56" xfId="11" applyFont="1" applyBorder="1" applyAlignment="1">
      <alignment horizontal="center" vertical="center" shrinkToFit="1"/>
    </xf>
    <xf numFmtId="0" fontId="84" fillId="0" borderId="30" xfId="11" applyFont="1" applyBorder="1" applyAlignment="1">
      <alignment horizontal="center" vertical="center" shrinkToFit="1"/>
    </xf>
    <xf numFmtId="0" fontId="83" fillId="0" borderId="0" xfId="11" applyFont="1" applyAlignment="1">
      <alignment horizontal="center"/>
    </xf>
    <xf numFmtId="202" fontId="84" fillId="0" borderId="19" xfId="11" applyNumberFormat="1" applyFont="1" applyBorder="1" applyAlignment="1">
      <alignment horizontal="right" shrinkToFit="1"/>
    </xf>
    <xf numFmtId="0" fontId="78" fillId="2" borderId="23" xfId="11" applyFont="1" applyFill="1" applyBorder="1" applyAlignment="1">
      <alignment horizontal="left" vertical="center" shrinkToFit="1"/>
    </xf>
    <xf numFmtId="0" fontId="78" fillId="2" borderId="0" xfId="11" applyFont="1" applyFill="1" applyAlignment="1">
      <alignment horizontal="left" vertical="center" shrinkToFit="1"/>
    </xf>
    <xf numFmtId="0" fontId="84" fillId="0" borderId="31" xfId="11" applyFont="1" applyBorder="1" applyAlignment="1">
      <alignment horizontal="center" vertical="center" shrinkToFit="1"/>
    </xf>
    <xf numFmtId="0" fontId="75" fillId="0" borderId="29" xfId="11" applyFont="1" applyBorder="1" applyAlignment="1">
      <alignment horizontal="center" vertical="center" shrinkToFit="1"/>
    </xf>
    <xf numFmtId="0" fontId="84" fillId="0" borderId="28" xfId="11" applyFont="1" applyBorder="1" applyAlignment="1">
      <alignment horizontal="left" shrinkToFit="1"/>
    </xf>
    <xf numFmtId="0" fontId="84" fillId="0" borderId="29" xfId="11" applyFont="1" applyBorder="1" applyAlignment="1">
      <alignment horizontal="left" shrinkToFit="1"/>
    </xf>
    <xf numFmtId="0" fontId="84" fillId="0" borderId="29" xfId="11" applyFont="1" applyBorder="1" applyAlignment="1">
      <alignment horizontal="center" vertical="center"/>
    </xf>
    <xf numFmtId="0" fontId="84" fillId="0" borderId="45" xfId="11" applyFont="1" applyBorder="1" applyAlignment="1">
      <alignment horizontal="center" vertical="center" shrinkToFit="1"/>
    </xf>
    <xf numFmtId="0" fontId="84" fillId="0" borderId="57" xfId="11" applyFont="1" applyBorder="1" applyAlignment="1">
      <alignment horizontal="center" vertical="center" shrinkToFit="1"/>
    </xf>
    <xf numFmtId="0" fontId="84" fillId="0" borderId="35" xfId="11" applyFont="1" applyBorder="1" applyAlignment="1">
      <alignment horizontal="center" vertical="center" shrinkToFit="1"/>
    </xf>
    <xf numFmtId="0" fontId="75" fillId="0" borderId="36" xfId="11" applyFont="1" applyBorder="1" applyAlignment="1">
      <alignment horizontal="center" vertical="center" shrinkToFit="1"/>
    </xf>
    <xf numFmtId="0" fontId="75" fillId="0" borderId="45" xfId="11" applyFont="1" applyBorder="1" applyAlignment="1">
      <alignment horizontal="center" vertical="center" shrinkToFit="1"/>
    </xf>
    <xf numFmtId="0" fontId="84" fillId="0" borderId="36" xfId="11" applyFont="1" applyBorder="1" applyAlignment="1">
      <alignment horizontal="center" vertical="center" shrinkToFit="1"/>
    </xf>
    <xf numFmtId="200" fontId="75" fillId="0" borderId="45" xfId="11" applyNumberFormat="1" applyFont="1" applyBorder="1" applyAlignment="1">
      <alignment horizontal="center" vertical="center" shrinkToFit="1"/>
    </xf>
    <xf numFmtId="200" fontId="75" fillId="0" borderId="57" xfId="11" applyNumberFormat="1" applyFont="1" applyBorder="1" applyAlignment="1">
      <alignment horizontal="center" vertical="center" shrinkToFit="1"/>
    </xf>
    <xf numFmtId="0" fontId="84" fillId="0" borderId="37" xfId="11" applyFont="1" applyBorder="1" applyAlignment="1">
      <alignment horizontal="center" vertical="center" shrinkToFit="1"/>
    </xf>
    <xf numFmtId="0" fontId="84" fillId="0" borderId="38" xfId="11" applyFont="1" applyBorder="1" applyAlignment="1">
      <alignment horizontal="center" vertical="center" shrinkToFit="1"/>
    </xf>
    <xf numFmtId="0" fontId="75" fillId="0" borderId="57" xfId="11" applyFont="1" applyBorder="1" applyAlignment="1">
      <alignment horizontal="center" vertical="center" shrinkToFit="1"/>
    </xf>
    <xf numFmtId="0" fontId="75" fillId="0" borderId="35" xfId="11" applyFont="1" applyBorder="1" applyAlignment="1">
      <alignment horizontal="center" vertical="center" shrinkToFit="1"/>
    </xf>
    <xf numFmtId="0" fontId="81" fillId="0" borderId="45" xfId="11" applyFont="1" applyBorder="1" applyAlignment="1">
      <alignment horizontal="center" vertical="center"/>
    </xf>
    <xf numFmtId="0" fontId="81" fillId="0" borderId="57" xfId="11" applyFont="1" applyBorder="1" applyAlignment="1">
      <alignment horizontal="center" vertical="center"/>
    </xf>
    <xf numFmtId="0" fontId="81" fillId="0" borderId="35" xfId="11" applyFont="1" applyBorder="1" applyAlignment="1">
      <alignment horizontal="center" vertical="center"/>
    </xf>
    <xf numFmtId="0" fontId="79" fillId="13" borderId="40" xfId="11" applyFont="1" applyFill="1" applyBorder="1" applyAlignment="1">
      <alignment horizontal="center" vertical="center"/>
    </xf>
    <xf numFmtId="0" fontId="79" fillId="13" borderId="56" xfId="11" applyFont="1" applyFill="1" applyBorder="1" applyAlignment="1">
      <alignment horizontal="center" vertical="center"/>
    </xf>
    <xf numFmtId="0" fontId="79" fillId="13" borderId="39" xfId="11" applyFont="1" applyFill="1" applyBorder="1" applyAlignment="1">
      <alignment horizontal="center" vertical="center"/>
    </xf>
    <xf numFmtId="0" fontId="79" fillId="13" borderId="47" xfId="11" applyFont="1" applyFill="1" applyBorder="1" applyAlignment="1">
      <alignment horizontal="center" vertical="center"/>
    </xf>
    <xf numFmtId="0" fontId="79" fillId="13" borderId="21" xfId="11" applyFont="1" applyFill="1" applyBorder="1" applyAlignment="1">
      <alignment horizontal="center" vertical="center"/>
    </xf>
    <xf numFmtId="0" fontId="79" fillId="13" borderId="44" xfId="11" applyFont="1" applyFill="1" applyBorder="1" applyAlignment="1">
      <alignment horizontal="center" vertical="center"/>
    </xf>
    <xf numFmtId="0" fontId="79" fillId="13" borderId="43" xfId="11" applyFont="1" applyFill="1" applyBorder="1" applyAlignment="1">
      <alignment horizontal="center" vertical="center"/>
    </xf>
    <xf numFmtId="0" fontId="84" fillId="13" borderId="5" xfId="9" applyFont="1" applyFill="1" applyBorder="1" applyAlignment="1">
      <alignment horizontal="center" vertical="center"/>
    </xf>
    <xf numFmtId="0" fontId="84" fillId="13" borderId="9" xfId="9" applyFont="1" applyFill="1" applyBorder="1" applyAlignment="1">
      <alignment horizontal="center" vertical="center"/>
    </xf>
    <xf numFmtId="0" fontId="84" fillId="13" borderId="6" xfId="9" applyFont="1" applyFill="1" applyBorder="1" applyAlignment="1">
      <alignment horizontal="center" vertical="center"/>
    </xf>
    <xf numFmtId="0" fontId="84" fillId="13" borderId="20" xfId="9" applyFont="1" applyFill="1" applyBorder="1" applyAlignment="1">
      <alignment horizontal="center" vertical="center"/>
    </xf>
    <xf numFmtId="0" fontId="84" fillId="13" borderId="19" xfId="9" applyFont="1" applyFill="1" applyBorder="1" applyAlignment="1">
      <alignment horizontal="center" vertical="center"/>
    </xf>
    <xf numFmtId="0" fontId="84" fillId="13" borderId="61" xfId="9" applyFont="1" applyFill="1" applyBorder="1" applyAlignment="1">
      <alignment horizontal="center" vertical="center"/>
    </xf>
    <xf numFmtId="0" fontId="84" fillId="13" borderId="58" xfId="9" applyFont="1" applyFill="1" applyBorder="1" applyAlignment="1">
      <alignment horizontal="center" vertical="center"/>
    </xf>
    <xf numFmtId="0" fontId="84" fillId="13" borderId="62" xfId="9" applyFont="1" applyFill="1" applyBorder="1" applyAlignment="1">
      <alignment horizontal="center" vertical="center"/>
    </xf>
    <xf numFmtId="0" fontId="84" fillId="13" borderId="58" xfId="9" applyFont="1" applyFill="1" applyBorder="1" applyAlignment="1">
      <alignment horizontal="center" vertical="center" wrapText="1"/>
    </xf>
    <xf numFmtId="0" fontId="84" fillId="13" borderId="9" xfId="9" applyFont="1" applyFill="1" applyBorder="1" applyAlignment="1">
      <alignment horizontal="center" vertical="center" wrapText="1"/>
    </xf>
    <xf numFmtId="0" fontId="84" fillId="13" borderId="6" xfId="9" applyFont="1" applyFill="1" applyBorder="1" applyAlignment="1">
      <alignment horizontal="center" vertical="center" wrapText="1"/>
    </xf>
    <xf numFmtId="0" fontId="84" fillId="13" borderId="62" xfId="9" applyFont="1" applyFill="1" applyBorder="1" applyAlignment="1">
      <alignment horizontal="center" vertical="center" wrapText="1"/>
    </xf>
    <xf numFmtId="0" fontId="84" fillId="13" borderId="19" xfId="9" applyFont="1" applyFill="1" applyBorder="1" applyAlignment="1">
      <alignment horizontal="center" vertical="center" wrapText="1"/>
    </xf>
    <xf numFmtId="0" fontId="84" fillId="13" borderId="61" xfId="9" applyFont="1" applyFill="1" applyBorder="1" applyAlignment="1">
      <alignment horizontal="center" vertical="center" wrapText="1"/>
    </xf>
    <xf numFmtId="0" fontId="84" fillId="13" borderId="58" xfId="11" applyFont="1" applyFill="1" applyBorder="1" applyAlignment="1">
      <alignment horizontal="center" vertical="center" wrapText="1" shrinkToFit="1"/>
    </xf>
    <xf numFmtId="0" fontId="84" fillId="13" borderId="9" xfId="11" applyFont="1" applyFill="1" applyBorder="1" applyAlignment="1">
      <alignment horizontal="center" vertical="center" wrapText="1" shrinkToFit="1"/>
    </xf>
    <xf numFmtId="0" fontId="84" fillId="13" borderId="2" xfId="11" applyFont="1" applyFill="1" applyBorder="1" applyAlignment="1">
      <alignment horizontal="center" vertical="center" wrapText="1" shrinkToFit="1"/>
    </xf>
    <xf numFmtId="0" fontId="84" fillId="13" borderId="62" xfId="11" applyFont="1" applyFill="1" applyBorder="1" applyAlignment="1">
      <alignment horizontal="center" vertical="center" wrapText="1" shrinkToFit="1"/>
    </xf>
    <xf numFmtId="0" fontId="84" fillId="13" borderId="19" xfId="11" applyFont="1" applyFill="1" applyBorder="1" applyAlignment="1">
      <alignment horizontal="center" vertical="center" wrapText="1" shrinkToFit="1"/>
    </xf>
    <xf numFmtId="0" fontId="84" fillId="13" borderId="10" xfId="11" applyFont="1" applyFill="1" applyBorder="1" applyAlignment="1">
      <alignment horizontal="center" vertical="center" wrapText="1" shrinkToFit="1"/>
    </xf>
    <xf numFmtId="0" fontId="84" fillId="13" borderId="31" xfId="11" applyFont="1" applyFill="1" applyBorder="1" applyAlignment="1">
      <alignment horizontal="center" vertical="center"/>
    </xf>
    <xf numFmtId="0" fontId="84" fillId="13" borderId="29" xfId="11" applyFont="1" applyFill="1" applyBorder="1" applyAlignment="1">
      <alignment horizontal="center" vertical="center"/>
    </xf>
    <xf numFmtId="0" fontId="84" fillId="13" borderId="15" xfId="11" applyFont="1" applyFill="1" applyBorder="1" applyAlignment="1">
      <alignment horizontal="center" vertical="center"/>
    </xf>
    <xf numFmtId="0" fontId="84" fillId="13" borderId="1" xfId="11" applyFont="1" applyFill="1" applyBorder="1" applyAlignment="1">
      <alignment horizontal="center" vertical="center"/>
    </xf>
    <xf numFmtId="0" fontId="79" fillId="13" borderId="29" xfId="11" applyFont="1" applyFill="1" applyBorder="1" applyAlignment="1">
      <alignment horizontal="center" vertical="center" wrapText="1"/>
    </xf>
    <xf numFmtId="0" fontId="79" fillId="13" borderId="29" xfId="11" applyFont="1" applyFill="1" applyBorder="1" applyAlignment="1">
      <alignment horizontal="center" vertical="center"/>
    </xf>
    <xf numFmtId="0" fontId="79" fillId="13" borderId="1" xfId="11" applyFont="1" applyFill="1" applyBorder="1" applyAlignment="1">
      <alignment horizontal="center" vertical="center"/>
    </xf>
    <xf numFmtId="0" fontId="81" fillId="12" borderId="21" xfId="11" applyFont="1" applyFill="1" applyBorder="1" applyAlignment="1">
      <alignment horizontal="center" vertical="center"/>
    </xf>
    <xf numFmtId="0" fontId="81" fillId="12" borderId="43" xfId="11" applyFont="1" applyFill="1" applyBorder="1" applyAlignment="1">
      <alignment horizontal="center" vertical="center"/>
    </xf>
    <xf numFmtId="0" fontId="79" fillId="8" borderId="15" xfId="9" applyFont="1" applyFill="1" applyBorder="1" applyAlignment="1">
      <alignment horizontal="center" vertical="center"/>
    </xf>
    <xf numFmtId="0" fontId="79" fillId="8" borderId="1" xfId="9" applyFont="1" applyFill="1" applyBorder="1" applyAlignment="1">
      <alignment horizontal="center" vertical="center"/>
    </xf>
    <xf numFmtId="185" fontId="79" fillId="8" borderId="47" xfId="9" applyNumberFormat="1" applyFont="1" applyFill="1" applyBorder="1" applyAlignment="1">
      <alignment horizontal="center" vertical="center"/>
    </xf>
    <xf numFmtId="185" fontId="79" fillId="8" borderId="21" xfId="9" applyNumberFormat="1" applyFont="1" applyFill="1" applyBorder="1" applyAlignment="1">
      <alignment horizontal="center" vertical="center"/>
    </xf>
    <xf numFmtId="185" fontId="79" fillId="8" borderId="44" xfId="9" applyNumberFormat="1" applyFont="1" applyFill="1" applyBorder="1" applyAlignment="1">
      <alignment horizontal="center" vertical="center"/>
    </xf>
    <xf numFmtId="185" fontId="79" fillId="0" borderId="1" xfId="11" applyNumberFormat="1" applyFont="1" applyBorder="1" applyAlignment="1">
      <alignment horizontal="right" vertical="center"/>
    </xf>
    <xf numFmtId="185" fontId="74" fillId="0" borderId="1" xfId="11" applyNumberFormat="1" applyFont="1" applyBorder="1" applyAlignment="1">
      <alignment horizontal="right" vertical="center"/>
    </xf>
    <xf numFmtId="185" fontId="74" fillId="0" borderId="14" xfId="11" applyNumberFormat="1" applyFont="1" applyBorder="1" applyAlignment="1">
      <alignment horizontal="right" vertical="center"/>
    </xf>
    <xf numFmtId="0" fontId="81" fillId="0" borderId="1" xfId="11" applyFont="1" applyBorder="1" applyAlignment="1">
      <alignment horizontal="center" vertical="center"/>
    </xf>
    <xf numFmtId="0" fontId="81" fillId="12" borderId="47" xfId="11" applyFont="1" applyFill="1" applyBorder="1" applyAlignment="1">
      <alignment horizontal="center" vertical="center"/>
    </xf>
    <xf numFmtId="0" fontId="81" fillId="12" borderId="44" xfId="11" applyFont="1" applyFill="1" applyBorder="1" applyAlignment="1">
      <alignment horizontal="center" vertical="center"/>
    </xf>
    <xf numFmtId="198" fontId="79" fillId="8" borderId="47" xfId="9" applyNumberFormat="1" applyFont="1" applyFill="1" applyBorder="1" applyAlignment="1">
      <alignment horizontal="center" vertical="center"/>
    </xf>
    <xf numFmtId="198" fontId="79" fillId="8" borderId="21" xfId="9" applyNumberFormat="1" applyFont="1" applyFill="1" applyBorder="1" applyAlignment="1">
      <alignment horizontal="center" vertical="center"/>
    </xf>
    <xf numFmtId="198" fontId="79" fillId="8" borderId="44" xfId="9" applyNumberFormat="1" applyFont="1" applyFill="1" applyBorder="1" applyAlignment="1">
      <alignment horizontal="center" vertical="center"/>
    </xf>
    <xf numFmtId="185" fontId="79" fillId="0" borderId="47" xfId="11" applyNumberFormat="1" applyFont="1" applyBorder="1" applyAlignment="1">
      <alignment horizontal="right" vertical="center"/>
    </xf>
    <xf numFmtId="185" fontId="79" fillId="0" borderId="21" xfId="11" applyNumberFormat="1" applyFont="1" applyBorder="1" applyAlignment="1">
      <alignment horizontal="right" vertical="center"/>
    </xf>
    <xf numFmtId="185" fontId="79" fillId="0" borderId="44" xfId="11" applyNumberFormat="1" applyFont="1" applyBorder="1" applyAlignment="1">
      <alignment horizontal="right" vertical="center"/>
    </xf>
    <xf numFmtId="185" fontId="74" fillId="0" borderId="47" xfId="11" applyNumberFormat="1" applyFont="1" applyBorder="1" applyAlignment="1">
      <alignment horizontal="right" vertical="center"/>
    </xf>
    <xf numFmtId="185" fontId="74" fillId="0" borderId="21" xfId="11" applyNumberFormat="1" applyFont="1" applyBorder="1" applyAlignment="1">
      <alignment horizontal="right" vertical="center"/>
    </xf>
    <xf numFmtId="185" fontId="74" fillId="0" borderId="43" xfId="11" applyNumberFormat="1" applyFont="1" applyBorder="1" applyAlignment="1">
      <alignment horizontal="right" vertical="center"/>
    </xf>
    <xf numFmtId="185" fontId="79" fillId="8" borderId="1" xfId="9" applyNumberFormat="1" applyFont="1" applyFill="1" applyBorder="1" applyAlignment="1">
      <alignment horizontal="center" vertical="center"/>
    </xf>
    <xf numFmtId="185" fontId="79" fillId="16" borderId="1" xfId="9" applyNumberFormat="1" applyFont="1" applyFill="1" applyBorder="1" applyAlignment="1">
      <alignment horizontal="center" vertical="center"/>
    </xf>
    <xf numFmtId="49" fontId="79" fillId="8" borderId="15" xfId="9" applyNumberFormat="1" applyFont="1" applyFill="1" applyBorder="1" applyAlignment="1">
      <alignment horizontal="center" vertical="center"/>
    </xf>
    <xf numFmtId="49" fontId="79" fillId="8" borderId="1" xfId="9" applyNumberFormat="1" applyFont="1" applyFill="1" applyBorder="1" applyAlignment="1">
      <alignment horizontal="center" vertical="center"/>
    </xf>
    <xf numFmtId="0" fontId="79" fillId="12" borderId="57" xfId="11" applyFont="1" applyFill="1" applyBorder="1" applyAlignment="1">
      <alignment horizontal="center" vertical="center"/>
    </xf>
    <xf numFmtId="0" fontId="79" fillId="12" borderId="35" xfId="11" applyFont="1" applyFill="1" applyBorder="1" applyAlignment="1">
      <alignment horizontal="center" vertical="center"/>
    </xf>
    <xf numFmtId="0" fontId="79" fillId="12" borderId="46" xfId="11" applyFont="1" applyFill="1" applyBorder="1" applyAlignment="1">
      <alignment horizontal="center" vertical="center"/>
    </xf>
    <xf numFmtId="185" fontId="79" fillId="0" borderId="1" xfId="9" applyNumberFormat="1" applyFont="1" applyBorder="1" applyAlignment="1">
      <alignment horizontal="center" vertical="center"/>
    </xf>
    <xf numFmtId="0" fontId="84" fillId="13" borderId="38" xfId="11" applyFont="1" applyFill="1" applyBorder="1" applyAlignment="1">
      <alignment horizontal="center" vertical="center"/>
    </xf>
    <xf numFmtId="0" fontId="84" fillId="13" borderId="36" xfId="11" applyFont="1" applyFill="1" applyBorder="1" applyAlignment="1">
      <alignment horizontal="center" vertical="center"/>
    </xf>
    <xf numFmtId="0" fontId="81" fillId="0" borderId="36" xfId="11" applyFont="1" applyBorder="1" applyAlignment="1">
      <alignment horizontal="center" vertical="center"/>
    </xf>
    <xf numFmtId="0" fontId="79" fillId="12" borderId="45" xfId="11" applyFont="1" applyFill="1" applyBorder="1" applyAlignment="1">
      <alignment horizontal="center" vertical="center"/>
    </xf>
    <xf numFmtId="0" fontId="78" fillId="3" borderId="0" xfId="11" applyFont="1" applyFill="1" applyAlignment="1">
      <alignment horizontal="left" vertical="center" shrinkToFit="1"/>
    </xf>
    <xf numFmtId="0" fontId="84" fillId="13" borderId="30" xfId="11" applyFont="1" applyFill="1" applyBorder="1" applyAlignment="1">
      <alignment horizontal="center" vertical="center"/>
    </xf>
    <xf numFmtId="0" fontId="84" fillId="13" borderId="14" xfId="11" applyFont="1" applyFill="1" applyBorder="1" applyAlignment="1">
      <alignment horizontal="center" vertical="center"/>
    </xf>
    <xf numFmtId="185" fontId="79" fillId="12" borderId="1" xfId="9" applyNumberFormat="1" applyFont="1" applyFill="1" applyBorder="1" applyAlignment="1">
      <alignment horizontal="center" vertical="center"/>
    </xf>
    <xf numFmtId="0" fontId="84" fillId="13" borderId="20" xfId="11" applyFont="1" applyFill="1" applyBorder="1" applyAlignment="1">
      <alignment horizontal="center" vertical="center"/>
    </xf>
    <xf numFmtId="0" fontId="84" fillId="13" borderId="19" xfId="11" applyFont="1" applyFill="1" applyBorder="1" applyAlignment="1">
      <alignment horizontal="center" vertical="center"/>
    </xf>
    <xf numFmtId="0" fontId="84" fillId="13" borderId="61" xfId="11" applyFont="1" applyFill="1" applyBorder="1" applyAlignment="1">
      <alignment horizontal="center" vertical="center"/>
    </xf>
    <xf numFmtId="0" fontId="84" fillId="13" borderId="15" xfId="11" applyFont="1" applyFill="1" applyBorder="1" applyAlignment="1">
      <alignment horizontal="center" vertical="center" wrapText="1" shrinkToFit="1"/>
    </xf>
    <xf numFmtId="0" fontId="84" fillId="13" borderId="1" xfId="11" applyFont="1" applyFill="1" applyBorder="1" applyAlignment="1">
      <alignment horizontal="center" vertical="center" wrapText="1" shrinkToFit="1"/>
    </xf>
    <xf numFmtId="0" fontId="84" fillId="13" borderId="5" xfId="11" applyFont="1" applyFill="1" applyBorder="1" applyAlignment="1">
      <alignment horizontal="center" vertical="center"/>
    </xf>
    <xf numFmtId="0" fontId="84" fillId="13" borderId="9" xfId="11" applyFont="1" applyFill="1" applyBorder="1" applyAlignment="1">
      <alignment horizontal="center" vertical="center"/>
    </xf>
    <xf numFmtId="0" fontId="84" fillId="13" borderId="6" xfId="11" applyFont="1" applyFill="1" applyBorder="1" applyAlignment="1">
      <alignment horizontal="center" vertical="center"/>
    </xf>
    <xf numFmtId="10" fontId="84" fillId="0" borderId="1" xfId="11" applyNumberFormat="1" applyFont="1" applyBorder="1" applyAlignment="1">
      <alignment horizontal="center" vertical="center" wrapText="1"/>
    </xf>
    <xf numFmtId="2" fontId="84" fillId="0" borderId="1" xfId="11" applyNumberFormat="1" applyFont="1" applyBorder="1" applyAlignment="1">
      <alignment horizontal="center" vertical="center" wrapText="1" shrinkToFit="1"/>
    </xf>
    <xf numFmtId="2" fontId="81" fillId="0" borderId="1" xfId="11" applyNumberFormat="1" applyFont="1" applyBorder="1" applyAlignment="1">
      <alignment horizontal="center" vertical="center"/>
    </xf>
    <xf numFmtId="2" fontId="81" fillId="0" borderId="14" xfId="11" applyNumberFormat="1" applyFont="1" applyBorder="1" applyAlignment="1">
      <alignment horizontal="center" vertical="center"/>
    </xf>
    <xf numFmtId="177" fontId="74" fillId="12" borderId="1" xfId="11" applyNumberFormat="1" applyFont="1" applyFill="1" applyBorder="1" applyAlignment="1">
      <alignment horizontal="center" vertical="center" shrinkToFit="1"/>
    </xf>
    <xf numFmtId="201" fontId="84" fillId="0" borderId="1" xfId="11" applyNumberFormat="1" applyFont="1" applyBorder="1" applyAlignment="1">
      <alignment horizontal="center" vertical="center" wrapText="1" shrinkToFit="1"/>
    </xf>
    <xf numFmtId="0" fontId="84" fillId="13" borderId="38" xfId="11" applyFont="1" applyFill="1" applyBorder="1" applyAlignment="1">
      <alignment horizontal="center" vertical="center" wrapText="1" shrinkToFit="1"/>
    </xf>
    <xf numFmtId="0" fontId="84" fillId="13" borderId="36" xfId="11" applyFont="1" applyFill="1" applyBorder="1" applyAlignment="1">
      <alignment horizontal="center" vertical="center" wrapText="1" shrinkToFit="1"/>
    </xf>
    <xf numFmtId="10" fontId="84" fillId="0" borderId="36" xfId="11" applyNumberFormat="1" applyFont="1" applyBorder="1" applyAlignment="1">
      <alignment horizontal="center" vertical="center" wrapText="1"/>
    </xf>
    <xf numFmtId="201" fontId="84" fillId="0" borderId="36" xfId="11" applyNumberFormat="1" applyFont="1" applyBorder="1" applyAlignment="1">
      <alignment horizontal="center" vertical="center" wrapText="1" shrinkToFit="1"/>
    </xf>
    <xf numFmtId="2" fontId="81" fillId="0" borderId="36" xfId="11" applyNumberFormat="1" applyFont="1" applyBorder="1" applyAlignment="1">
      <alignment horizontal="center" vertical="center"/>
    </xf>
    <xf numFmtId="2" fontId="81" fillId="0" borderId="37" xfId="11" applyNumberFormat="1" applyFont="1" applyBorder="1" applyAlignment="1">
      <alignment horizontal="center" vertical="center"/>
    </xf>
    <xf numFmtId="0" fontId="79" fillId="3" borderId="38" xfId="9" applyFont="1" applyFill="1" applyBorder="1" applyAlignment="1">
      <alignment horizontal="center" vertical="center"/>
    </xf>
    <xf numFmtId="0" fontId="79" fillId="3" borderId="36" xfId="9" applyFont="1" applyFill="1" applyBorder="1" applyAlignment="1">
      <alignment horizontal="center" vertical="center"/>
    </xf>
    <xf numFmtId="185" fontId="84" fillId="3" borderId="36" xfId="11" applyNumberFormat="1" applyFont="1" applyFill="1" applyBorder="1" applyAlignment="1">
      <alignment horizontal="center" vertical="center"/>
    </xf>
    <xf numFmtId="185" fontId="76" fillId="3" borderId="36" xfId="11" applyNumberFormat="1" applyFont="1" applyFill="1" applyBorder="1" applyAlignment="1">
      <alignment horizontal="center" vertical="center" shrinkToFit="1"/>
    </xf>
    <xf numFmtId="203" fontId="76" fillId="3" borderId="36" xfId="11" applyNumberFormat="1" applyFont="1" applyFill="1" applyBorder="1" applyAlignment="1">
      <alignment horizontal="center" vertical="center" shrinkToFit="1"/>
    </xf>
    <xf numFmtId="203" fontId="76" fillId="3" borderId="37" xfId="11" applyNumberFormat="1" applyFont="1" applyFill="1" applyBorder="1" applyAlignment="1">
      <alignment horizontal="center" vertical="center" shrinkToFit="1"/>
    </xf>
    <xf numFmtId="181" fontId="79" fillId="0" borderId="1" xfId="11" applyNumberFormat="1" applyFont="1" applyBorder="1" applyAlignment="1">
      <alignment horizontal="center" vertical="center" shrinkToFit="1"/>
    </xf>
    <xf numFmtId="185" fontId="79" fillId="0" borderId="1" xfId="11" applyNumberFormat="1" applyFont="1" applyBorder="1" applyAlignment="1">
      <alignment horizontal="center" vertical="center"/>
    </xf>
    <xf numFmtId="185" fontId="84" fillId="0" borderId="1" xfId="11" applyNumberFormat="1" applyFont="1" applyBorder="1" applyAlignment="1">
      <alignment horizontal="right" vertical="center"/>
    </xf>
    <xf numFmtId="0" fontId="84" fillId="13" borderId="31" xfId="9" applyFont="1" applyFill="1" applyBorder="1" applyAlignment="1">
      <alignment horizontal="center" vertical="center"/>
    </xf>
    <xf numFmtId="0" fontId="84" fillId="13" borderId="29" xfId="9" applyFont="1" applyFill="1" applyBorder="1" applyAlignment="1">
      <alignment horizontal="center" vertical="center"/>
    </xf>
    <xf numFmtId="0" fontId="84" fillId="13" borderId="15" xfId="9" applyFont="1" applyFill="1" applyBorder="1" applyAlignment="1">
      <alignment horizontal="center" vertical="center"/>
    </xf>
    <xf numFmtId="0" fontId="84" fillId="13" borderId="1" xfId="9" applyFont="1" applyFill="1" applyBorder="1" applyAlignment="1">
      <alignment horizontal="center" vertical="center"/>
    </xf>
    <xf numFmtId="0" fontId="84" fillId="13" borderId="29" xfId="11" applyFont="1" applyFill="1" applyBorder="1" applyAlignment="1">
      <alignment horizontal="center" vertical="center" wrapText="1" shrinkToFit="1"/>
    </xf>
    <xf numFmtId="0" fontId="84" fillId="13" borderId="29" xfId="11" applyFont="1" applyFill="1" applyBorder="1" applyAlignment="1">
      <alignment horizontal="center" vertical="center" wrapText="1"/>
    </xf>
    <xf numFmtId="0" fontId="84" fillId="13" borderId="1" xfId="11" applyFont="1" applyFill="1" applyBorder="1" applyAlignment="1">
      <alignment horizontal="center" vertical="center" wrapText="1"/>
    </xf>
    <xf numFmtId="0" fontId="84" fillId="13" borderId="15" xfId="11" applyFont="1" applyFill="1" applyBorder="1" applyAlignment="1">
      <alignment horizontal="center" vertical="center" shrinkToFit="1"/>
    </xf>
    <xf numFmtId="0" fontId="84" fillId="13" borderId="1" xfId="11" applyFont="1" applyFill="1" applyBorder="1" applyAlignment="1">
      <alignment horizontal="center" vertical="center" shrinkToFit="1"/>
    </xf>
    <xf numFmtId="0" fontId="81" fillId="0" borderId="1" xfId="11" applyFont="1" applyBorder="1" applyAlignment="1">
      <alignment horizontal="center" vertical="center" shrinkToFit="1"/>
    </xf>
    <xf numFmtId="204" fontId="81" fillId="0" borderId="1" xfId="11" applyNumberFormat="1" applyFont="1" applyBorder="1" applyAlignment="1">
      <alignment horizontal="center" vertical="center" shrinkToFit="1"/>
    </xf>
    <xf numFmtId="0" fontId="81" fillId="0" borderId="14" xfId="11" applyFont="1" applyBorder="1" applyAlignment="1">
      <alignment horizontal="center" vertical="center"/>
    </xf>
    <xf numFmtId="0" fontId="81" fillId="0" borderId="1" xfId="11" applyFont="1" applyBorder="1" applyAlignment="1">
      <alignment horizontal="center" vertical="center" wrapText="1" shrinkToFit="1"/>
    </xf>
    <xf numFmtId="189" fontId="81" fillId="0" borderId="1" xfId="11" applyNumberFormat="1" applyFont="1" applyBorder="1" applyAlignment="1">
      <alignment horizontal="right" vertical="center"/>
    </xf>
    <xf numFmtId="0" fontId="81" fillId="0" borderId="14" xfId="11" applyFont="1" applyBorder="1" applyAlignment="1">
      <alignment horizontal="center" vertical="center" shrinkToFit="1"/>
    </xf>
    <xf numFmtId="2" fontId="81" fillId="0" borderId="1" xfId="11" applyNumberFormat="1" applyFont="1" applyBorder="1" applyAlignment="1">
      <alignment horizontal="center" vertical="center" wrapText="1" shrinkToFit="1"/>
    </xf>
    <xf numFmtId="0" fontId="74" fillId="0" borderId="1" xfId="11" applyFont="1" applyBorder="1" applyAlignment="1">
      <alignment horizontal="center" vertical="center" shrinkToFit="1"/>
    </xf>
    <xf numFmtId="0" fontId="84" fillId="0" borderId="1" xfId="11" applyFont="1" applyBorder="1" applyAlignment="1">
      <alignment horizontal="center" vertical="center" wrapText="1" shrinkToFit="1"/>
    </xf>
    <xf numFmtId="0" fontId="74" fillId="3" borderId="36" xfId="11" applyFont="1" applyFill="1" applyBorder="1" applyAlignment="1">
      <alignment horizontal="center" vertical="center" shrinkToFit="1"/>
    </xf>
    <xf numFmtId="0" fontId="84" fillId="3" borderId="36" xfId="11" applyFont="1" applyFill="1" applyBorder="1" applyAlignment="1">
      <alignment horizontal="center" vertical="center" shrinkToFit="1"/>
    </xf>
    <xf numFmtId="10" fontId="84" fillId="3" borderId="36" xfId="11" applyNumberFormat="1" applyFont="1" applyFill="1" applyBorder="1" applyAlignment="1">
      <alignment horizontal="center" vertical="center"/>
    </xf>
    <xf numFmtId="10" fontId="84" fillId="3" borderId="37" xfId="11" applyNumberFormat="1" applyFont="1" applyFill="1" applyBorder="1" applyAlignment="1">
      <alignment horizontal="center" vertical="center"/>
    </xf>
    <xf numFmtId="0" fontId="84" fillId="12" borderId="0" xfId="11" applyFont="1" applyFill="1" applyAlignment="1">
      <alignment horizontal="center" vertical="center" shrinkToFit="1"/>
    </xf>
    <xf numFmtId="10" fontId="84" fillId="12" borderId="0" xfId="11" applyNumberFormat="1" applyFont="1" applyFill="1" applyAlignment="1">
      <alignment horizontal="center" vertical="center" shrinkToFit="1"/>
    </xf>
    <xf numFmtId="0" fontId="84" fillId="3" borderId="38" xfId="11" applyFont="1" applyFill="1" applyBorder="1" applyAlignment="1">
      <alignment horizontal="center" vertical="center" shrinkToFit="1"/>
    </xf>
    <xf numFmtId="0" fontId="81" fillId="3" borderId="36" xfId="11" applyFont="1" applyFill="1" applyBorder="1" applyAlignment="1">
      <alignment horizontal="center" vertical="center"/>
    </xf>
    <xf numFmtId="0" fontId="84" fillId="3" borderId="36" xfId="11" applyFont="1" applyFill="1" applyBorder="1" applyAlignment="1">
      <alignment horizontal="center" vertical="center" wrapText="1" shrinkToFit="1"/>
    </xf>
    <xf numFmtId="189" fontId="81" fillId="3" borderId="36" xfId="11" applyNumberFormat="1" applyFont="1" applyFill="1" applyBorder="1" applyAlignment="1">
      <alignment horizontal="right" vertical="center"/>
    </xf>
    <xf numFmtId="189" fontId="76" fillId="3" borderId="36" xfId="11" applyNumberFormat="1" applyFont="1" applyFill="1" applyBorder="1" applyAlignment="1">
      <alignment horizontal="right" vertical="center" shrinkToFit="1"/>
    </xf>
    <xf numFmtId="0" fontId="84" fillId="13" borderId="31" xfId="11" applyFont="1" applyFill="1" applyBorder="1" applyAlignment="1">
      <alignment horizontal="center" vertical="center" shrinkToFit="1"/>
    </xf>
    <xf numFmtId="0" fontId="84" fillId="13" borderId="29" xfId="11" applyFont="1" applyFill="1" applyBorder="1" applyAlignment="1">
      <alignment horizontal="center" vertical="center" shrinkToFit="1"/>
    </xf>
    <xf numFmtId="14" fontId="76" fillId="12" borderId="29" xfId="11" applyNumberFormat="1" applyFont="1" applyFill="1" applyBorder="1" applyAlignment="1">
      <alignment horizontal="center" vertical="center" shrinkToFit="1"/>
    </xf>
    <xf numFmtId="14" fontId="76" fillId="12" borderId="30" xfId="11" applyNumberFormat="1" applyFont="1" applyFill="1" applyBorder="1" applyAlignment="1">
      <alignment horizontal="center" vertical="center" shrinkToFit="1"/>
    </xf>
    <xf numFmtId="0" fontId="84" fillId="3" borderId="31" xfId="11" applyFont="1" applyFill="1" applyBorder="1" applyAlignment="1">
      <alignment horizontal="center" vertical="center" shrinkToFit="1"/>
    </xf>
    <xf numFmtId="0" fontId="84" fillId="3" borderId="29" xfId="11" applyFont="1" applyFill="1" applyBorder="1" applyAlignment="1">
      <alignment horizontal="center" vertical="center" shrinkToFit="1"/>
    </xf>
    <xf numFmtId="0" fontId="84" fillId="3" borderId="30" xfId="11" applyFont="1" applyFill="1" applyBorder="1" applyAlignment="1">
      <alignment horizontal="center" vertical="center" shrinkToFit="1"/>
    </xf>
    <xf numFmtId="14" fontId="81" fillId="12" borderId="1" xfId="11" applyNumberFormat="1" applyFont="1" applyFill="1" applyBorder="1" applyAlignment="1">
      <alignment horizontal="center" vertical="center" shrinkToFit="1"/>
    </xf>
    <xf numFmtId="14" fontId="81" fillId="12" borderId="14" xfId="11" applyNumberFormat="1" applyFont="1" applyFill="1" applyBorder="1" applyAlignment="1">
      <alignment horizontal="center" vertical="center" shrinkToFit="1"/>
    </xf>
    <xf numFmtId="0" fontId="84" fillId="3" borderId="15" xfId="11" applyFont="1" applyFill="1" applyBorder="1" applyAlignment="1">
      <alignment horizontal="center" vertical="center" shrinkToFit="1"/>
    </xf>
    <xf numFmtId="0" fontId="84" fillId="3" borderId="1" xfId="11" applyFont="1" applyFill="1" applyBorder="1" applyAlignment="1">
      <alignment horizontal="center" vertical="center" shrinkToFit="1"/>
    </xf>
    <xf numFmtId="0" fontId="84" fillId="12" borderId="1" xfId="11" applyFont="1" applyFill="1" applyBorder="1" applyAlignment="1">
      <alignment horizontal="center" vertical="center" shrinkToFit="1"/>
    </xf>
    <xf numFmtId="0" fontId="84" fillId="12" borderId="14" xfId="11" applyFont="1" applyFill="1" applyBorder="1" applyAlignment="1">
      <alignment horizontal="center" vertical="center" shrinkToFit="1"/>
    </xf>
    <xf numFmtId="0" fontId="84" fillId="13" borderId="38" xfId="11" applyFont="1" applyFill="1" applyBorder="1" applyAlignment="1">
      <alignment horizontal="center" vertical="center" shrinkToFit="1"/>
    </xf>
    <xf numFmtId="0" fontId="84" fillId="13" borderId="36" xfId="11" applyFont="1" applyFill="1" applyBorder="1" applyAlignment="1">
      <alignment horizontal="center" vertical="center" shrinkToFit="1"/>
    </xf>
    <xf numFmtId="10" fontId="79" fillId="0" borderId="36" xfId="11" applyNumberFormat="1" applyFont="1" applyBorder="1" applyAlignment="1">
      <alignment horizontal="center" vertical="center"/>
    </xf>
    <xf numFmtId="10" fontId="79" fillId="0" borderId="37" xfId="11" applyNumberFormat="1" applyFont="1" applyBorder="1" applyAlignment="1">
      <alignment horizontal="center" vertical="center"/>
    </xf>
    <xf numFmtId="200" fontId="81" fillId="0" borderId="1" xfId="11" applyNumberFormat="1" applyFont="1" applyBorder="1" applyAlignment="1">
      <alignment horizontal="center" vertical="center"/>
    </xf>
    <xf numFmtId="200" fontId="81" fillId="0" borderId="14" xfId="11" applyNumberFormat="1" applyFont="1" applyBorder="1" applyAlignment="1">
      <alignment horizontal="center" vertical="center"/>
    </xf>
    <xf numFmtId="0" fontId="81" fillId="0" borderId="5" xfId="11" applyFont="1" applyBorder="1" applyAlignment="1">
      <alignment horizontal="center" vertical="center"/>
    </xf>
    <xf numFmtId="0" fontId="81" fillId="0" borderId="9" xfId="11" applyFont="1" applyBorder="1" applyAlignment="1">
      <alignment horizontal="center" vertical="center"/>
    </xf>
    <xf numFmtId="0" fontId="81" fillId="0" borderId="2" xfId="11" applyFont="1" applyBorder="1" applyAlignment="1">
      <alignment horizontal="center" vertical="center"/>
    </xf>
    <xf numFmtId="0" fontId="81" fillId="0" borderId="23" xfId="11" applyFont="1" applyBorder="1" applyAlignment="1">
      <alignment horizontal="center" vertical="center"/>
    </xf>
    <xf numFmtId="0" fontId="81" fillId="0" borderId="0" xfId="11" applyFont="1" applyAlignment="1">
      <alignment horizontal="center" vertical="center"/>
    </xf>
    <xf numFmtId="0" fontId="81" fillId="0" borderId="49" xfId="11" applyFont="1" applyBorder="1" applyAlignment="1">
      <alignment horizontal="center" vertical="center"/>
    </xf>
    <xf numFmtId="0" fontId="81" fillId="0" borderId="33" xfId="11" applyFont="1" applyBorder="1" applyAlignment="1">
      <alignment horizontal="center" vertical="center"/>
    </xf>
    <xf numFmtId="0" fontId="81" fillId="0" borderId="50" xfId="11" applyFont="1" applyBorder="1" applyAlignment="1">
      <alignment horizontal="center" vertical="center"/>
    </xf>
    <xf numFmtId="0" fontId="81" fillId="0" borderId="51" xfId="11" applyFont="1" applyBorder="1" applyAlignment="1">
      <alignment horizontal="center" vertical="center"/>
    </xf>
    <xf numFmtId="0" fontId="84" fillId="12" borderId="36" xfId="11" applyFont="1" applyFill="1" applyBorder="1" applyAlignment="1">
      <alignment horizontal="center" vertical="center" shrinkToFit="1"/>
    </xf>
    <xf numFmtId="0" fontId="84" fillId="12" borderId="37" xfId="11" applyFont="1" applyFill="1" applyBorder="1" applyAlignment="1">
      <alignment horizontal="center" vertical="center" shrinkToFit="1"/>
    </xf>
    <xf numFmtId="203" fontId="81" fillId="0" borderId="0" xfId="11" applyNumberFormat="1" applyFont="1" applyAlignment="1">
      <alignment horizontal="center" vertical="center" shrinkToFit="1"/>
    </xf>
    <xf numFmtId="203" fontId="81" fillId="12" borderId="0" xfId="11" applyNumberFormat="1" applyFont="1" applyFill="1" applyAlignment="1">
      <alignment horizontal="center" vertical="center" shrinkToFit="1"/>
    </xf>
    <xf numFmtId="0" fontId="84" fillId="13" borderId="25" xfId="11" applyFont="1" applyFill="1" applyBorder="1" applyAlignment="1">
      <alignment horizontal="center" vertical="center" shrinkToFit="1"/>
    </xf>
    <xf numFmtId="0" fontId="84" fillId="13" borderId="24" xfId="11" applyFont="1" applyFill="1" applyBorder="1" applyAlignment="1">
      <alignment horizontal="center" vertical="center" shrinkToFit="1"/>
    </xf>
    <xf numFmtId="0" fontId="84" fillId="13" borderId="16" xfId="11" applyFont="1" applyFill="1" applyBorder="1" applyAlignment="1">
      <alignment horizontal="center" vertical="center" shrinkToFit="1"/>
    </xf>
    <xf numFmtId="0" fontId="84" fillId="13" borderId="20" xfId="11" applyFont="1" applyFill="1" applyBorder="1" applyAlignment="1">
      <alignment horizontal="center" vertical="center" shrinkToFit="1"/>
    </xf>
    <xf numFmtId="0" fontId="84" fillId="13" borderId="19" xfId="11" applyFont="1" applyFill="1" applyBorder="1" applyAlignment="1">
      <alignment horizontal="center" vertical="center" shrinkToFit="1"/>
    </xf>
    <xf numFmtId="0" fontId="84" fillId="13" borderId="61" xfId="11" applyFont="1" applyFill="1" applyBorder="1" applyAlignment="1">
      <alignment horizontal="center" vertical="center" shrinkToFit="1"/>
    </xf>
    <xf numFmtId="14" fontId="81" fillId="12" borderId="47" xfId="11" applyNumberFormat="1" applyFont="1" applyFill="1" applyBorder="1" applyAlignment="1">
      <alignment horizontal="center" vertical="center" shrinkToFit="1"/>
    </xf>
    <xf numFmtId="14" fontId="81" fillId="12" borderId="21" xfId="11" applyNumberFormat="1" applyFont="1" applyFill="1" applyBorder="1" applyAlignment="1">
      <alignment horizontal="center" vertical="center" shrinkToFit="1"/>
    </xf>
    <xf numFmtId="14" fontId="81" fillId="12" borderId="44" xfId="11" applyNumberFormat="1" applyFont="1" applyFill="1" applyBorder="1" applyAlignment="1">
      <alignment horizontal="center" vertical="center" shrinkToFit="1"/>
    </xf>
    <xf numFmtId="14" fontId="81" fillId="12" borderId="43" xfId="11" applyNumberFormat="1" applyFont="1" applyFill="1" applyBorder="1" applyAlignment="1">
      <alignment horizontal="center" vertical="center" shrinkToFit="1"/>
    </xf>
    <xf numFmtId="185" fontId="79" fillId="12" borderId="47" xfId="9" applyNumberFormat="1" applyFont="1" applyFill="1" applyBorder="1" applyAlignment="1">
      <alignment horizontal="center" vertical="center"/>
    </xf>
    <xf numFmtId="185" fontId="79" fillId="12" borderId="21" xfId="9" applyNumberFormat="1" applyFont="1" applyFill="1" applyBorder="1" applyAlignment="1">
      <alignment horizontal="center" vertical="center"/>
    </xf>
    <xf numFmtId="185" fontId="79" fillId="12" borderId="44" xfId="9" applyNumberFormat="1" applyFont="1" applyFill="1" applyBorder="1" applyAlignment="1">
      <alignment horizontal="center" vertical="center"/>
    </xf>
    <xf numFmtId="0" fontId="84" fillId="13" borderId="47" xfId="11" applyFont="1" applyFill="1" applyBorder="1" applyAlignment="1">
      <alignment horizontal="center" vertical="center"/>
    </xf>
    <xf numFmtId="0" fontId="84" fillId="13" borderId="58" xfId="11" applyFont="1" applyFill="1" applyBorder="1" applyAlignment="1">
      <alignment horizontal="center" vertical="center"/>
    </xf>
    <xf numFmtId="0" fontId="84" fillId="13" borderId="2" xfId="11" applyFont="1" applyFill="1" applyBorder="1" applyAlignment="1">
      <alignment horizontal="center" vertical="center"/>
    </xf>
    <xf numFmtId="2" fontId="81" fillId="13" borderId="1" xfId="11" applyNumberFormat="1" applyFont="1" applyFill="1" applyBorder="1" applyAlignment="1">
      <alignment horizontal="center" vertical="center"/>
    </xf>
    <xf numFmtId="2" fontId="81" fillId="13" borderId="14" xfId="11" applyNumberFormat="1" applyFont="1" applyFill="1" applyBorder="1" applyAlignment="1">
      <alignment horizontal="center" vertical="center"/>
    </xf>
    <xf numFmtId="185" fontId="79" fillId="16" borderId="47" xfId="9" applyNumberFormat="1" applyFont="1" applyFill="1" applyBorder="1" applyAlignment="1">
      <alignment horizontal="center" vertical="center"/>
    </xf>
    <xf numFmtId="185" fontId="79" fillId="16" borderId="21" xfId="9" applyNumberFormat="1" applyFont="1" applyFill="1" applyBorder="1" applyAlignment="1">
      <alignment horizontal="center" vertical="center"/>
    </xf>
    <xf numFmtId="185" fontId="79" fillId="16" borderId="44" xfId="9" applyNumberFormat="1" applyFont="1" applyFill="1" applyBorder="1" applyAlignment="1">
      <alignment horizontal="center" vertical="center"/>
    </xf>
    <xf numFmtId="0" fontId="84" fillId="13" borderId="27" xfId="11" applyFont="1" applyFill="1" applyBorder="1" applyAlignment="1">
      <alignment horizontal="center" vertical="center"/>
    </xf>
    <xf numFmtId="0" fontId="84" fillId="13" borderId="56" xfId="11" applyFont="1" applyFill="1" applyBorder="1" applyAlignment="1">
      <alignment horizontal="center" vertical="center"/>
    </xf>
    <xf numFmtId="0" fontId="84" fillId="13" borderId="28" xfId="11" applyFont="1" applyFill="1" applyBorder="1" applyAlignment="1">
      <alignment horizontal="center" vertical="center"/>
    </xf>
    <xf numFmtId="0" fontId="84" fillId="13" borderId="13" xfId="11" applyFont="1" applyFill="1" applyBorder="1" applyAlignment="1">
      <alignment horizontal="center" vertical="center"/>
    </xf>
    <xf numFmtId="0" fontId="84" fillId="13" borderId="21" xfId="11" applyFont="1" applyFill="1" applyBorder="1" applyAlignment="1">
      <alignment horizontal="center" vertical="center"/>
    </xf>
    <xf numFmtId="0" fontId="84" fillId="13" borderId="44" xfId="11" applyFont="1" applyFill="1" applyBorder="1" applyAlignment="1">
      <alignment horizontal="center" vertical="center"/>
    </xf>
    <xf numFmtId="198" fontId="79" fillId="16" borderId="47" xfId="9" applyNumberFormat="1" applyFont="1" applyFill="1" applyBorder="1" applyAlignment="1">
      <alignment horizontal="center" vertical="center"/>
    </xf>
    <xf numFmtId="198" fontId="79" fillId="16" borderId="21" xfId="9" applyNumberFormat="1" applyFont="1" applyFill="1" applyBorder="1" applyAlignment="1">
      <alignment horizontal="center" vertical="center"/>
    </xf>
    <xf numFmtId="198" fontId="79" fillId="16" borderId="44" xfId="9" applyNumberFormat="1" applyFont="1" applyFill="1" applyBorder="1" applyAlignment="1">
      <alignment horizontal="center" vertical="center"/>
    </xf>
    <xf numFmtId="2" fontId="84" fillId="0" borderId="47" xfId="11" applyNumberFormat="1" applyFont="1" applyBorder="1" applyAlignment="1">
      <alignment horizontal="center" vertical="center" wrapText="1" shrinkToFit="1"/>
    </xf>
    <xf numFmtId="1" fontId="84" fillId="0" borderId="1" xfId="11" applyNumberFormat="1" applyFont="1" applyBorder="1" applyAlignment="1">
      <alignment horizontal="center" vertical="center" wrapText="1" shrinkToFit="1"/>
    </xf>
    <xf numFmtId="1" fontId="84" fillId="0" borderId="47" xfId="11" applyNumberFormat="1" applyFont="1" applyBorder="1" applyAlignment="1">
      <alignment horizontal="center" vertical="center" wrapText="1" shrinkToFit="1"/>
    </xf>
    <xf numFmtId="1" fontId="84" fillId="0" borderId="36" xfId="11" applyNumberFormat="1" applyFont="1" applyBorder="1" applyAlignment="1">
      <alignment horizontal="center" vertical="center" wrapText="1" shrinkToFit="1"/>
    </xf>
    <xf numFmtId="1" fontId="84" fillId="0" borderId="45" xfId="11" applyNumberFormat="1" applyFont="1" applyBorder="1" applyAlignment="1">
      <alignment horizontal="center" vertical="center" wrapText="1" shrinkToFit="1"/>
    </xf>
    <xf numFmtId="0" fontId="70" fillId="16" borderId="0" xfId="9" applyFont="1" applyFill="1" applyAlignment="1">
      <alignment horizontal="center" vertical="center" wrapText="1"/>
    </xf>
    <xf numFmtId="10" fontId="70" fillId="16" borderId="0" xfId="9" applyNumberFormat="1" applyFont="1" applyFill="1" applyAlignment="1">
      <alignment horizontal="center" vertical="center" wrapText="1"/>
    </xf>
    <xf numFmtId="201" fontId="70" fillId="16" borderId="0" xfId="9" applyNumberFormat="1" applyFont="1" applyFill="1" applyAlignment="1">
      <alignment horizontal="center" vertical="center" wrapText="1"/>
    </xf>
    <xf numFmtId="2" fontId="70" fillId="16" borderId="0" xfId="9" applyNumberFormat="1" applyFont="1" applyFill="1" applyAlignment="1">
      <alignment horizontal="center" vertical="center" wrapText="1"/>
    </xf>
    <xf numFmtId="10" fontId="79" fillId="16" borderId="1" xfId="10" applyNumberFormat="1" applyFont="1" applyFill="1" applyBorder="1" applyAlignment="1">
      <alignment horizontal="center" vertical="center"/>
    </xf>
    <xf numFmtId="10" fontId="79" fillId="16" borderId="14" xfId="10" applyNumberFormat="1" applyFont="1" applyFill="1" applyBorder="1" applyAlignment="1">
      <alignment horizontal="center" vertical="center"/>
    </xf>
    <xf numFmtId="181" fontId="79" fillId="16" borderId="1" xfId="10" applyNumberFormat="1" applyFont="1" applyFill="1" applyBorder="1" applyAlignment="1">
      <alignment horizontal="center" vertical="center"/>
    </xf>
    <xf numFmtId="181" fontId="79" fillId="16" borderId="14" xfId="10" applyNumberFormat="1" applyFont="1" applyFill="1" applyBorder="1" applyAlignment="1">
      <alignment horizontal="center" vertical="center"/>
    </xf>
    <xf numFmtId="0" fontId="80" fillId="0" borderId="14" xfId="9" applyFont="1" applyBorder="1" applyAlignment="1">
      <alignment horizontal="center" vertical="center"/>
    </xf>
    <xf numFmtId="0" fontId="74" fillId="16" borderId="1" xfId="9" applyFont="1" applyFill="1" applyBorder="1" applyAlignment="1">
      <alignment horizontal="center" vertical="center"/>
    </xf>
    <xf numFmtId="0" fontId="74" fillId="16" borderId="14" xfId="9" applyFont="1" applyFill="1" applyBorder="1" applyAlignment="1">
      <alignment horizontal="center" vertical="center"/>
    </xf>
    <xf numFmtId="201" fontId="79" fillId="0" borderId="1" xfId="9" applyNumberFormat="1" applyFont="1" applyBorder="1" applyAlignment="1">
      <alignment horizontal="center" vertical="center"/>
    </xf>
    <xf numFmtId="0" fontId="79" fillId="16" borderId="1" xfId="9" applyFont="1" applyFill="1" applyBorder="1" applyAlignment="1">
      <alignment horizontal="center" vertical="center" shrinkToFit="1"/>
    </xf>
    <xf numFmtId="0" fontId="79" fillId="16" borderId="14" xfId="9" applyFont="1" applyFill="1" applyBorder="1" applyAlignment="1">
      <alignment horizontal="center" vertical="center" shrinkToFit="1"/>
    </xf>
    <xf numFmtId="0" fontId="71" fillId="13" borderId="31" xfId="9" applyFont="1" applyFill="1" applyBorder="1" applyAlignment="1">
      <alignment horizontal="center" vertical="center"/>
    </xf>
    <xf numFmtId="0" fontId="71" fillId="13" borderId="40" xfId="9" applyFont="1" applyFill="1" applyBorder="1" applyAlignment="1">
      <alignment horizontal="center" vertical="center"/>
    </xf>
    <xf numFmtId="0" fontId="71" fillId="0" borderId="27" xfId="9" applyFont="1" applyBorder="1" applyAlignment="1">
      <alignment horizontal="center" vertical="center"/>
    </xf>
    <xf numFmtId="0" fontId="71" fillId="0" borderId="56" xfId="9" applyFont="1" applyBorder="1" applyAlignment="1">
      <alignment horizontal="center" vertical="center"/>
    </xf>
    <xf numFmtId="0" fontId="71" fillId="0" borderId="28" xfId="9" applyFont="1" applyBorder="1" applyAlignment="1">
      <alignment horizontal="center" vertical="center"/>
    </xf>
    <xf numFmtId="0" fontId="71" fillId="13" borderId="56" xfId="9" applyFont="1" applyFill="1" applyBorder="1" applyAlignment="1">
      <alignment horizontal="center" vertical="center"/>
    </xf>
    <xf numFmtId="0" fontId="71" fillId="16" borderId="40" xfId="9" applyFont="1" applyFill="1" applyBorder="1" applyAlignment="1">
      <alignment horizontal="center" vertical="center"/>
    </xf>
    <xf numFmtId="0" fontId="71" fillId="16" borderId="28" xfId="9" applyFont="1" applyFill="1" applyBorder="1" applyAlignment="1">
      <alignment horizontal="center" vertical="center"/>
    </xf>
    <xf numFmtId="0" fontId="71" fillId="13" borderId="58" xfId="9" applyFont="1" applyFill="1" applyBorder="1" applyAlignment="1">
      <alignment horizontal="center" vertical="center"/>
    </xf>
    <xf numFmtId="0" fontId="71" fillId="13" borderId="6" xfId="9" applyFont="1" applyFill="1" applyBorder="1" applyAlignment="1">
      <alignment horizontal="center" vertical="center"/>
    </xf>
    <xf numFmtId="0" fontId="71" fillId="13" borderId="59" xfId="9" applyFont="1" applyFill="1" applyBorder="1" applyAlignment="1">
      <alignment horizontal="center" vertical="center"/>
    </xf>
    <xf numFmtId="0" fontId="71" fillId="13" borderId="60" xfId="9" applyFont="1" applyFill="1" applyBorder="1" applyAlignment="1">
      <alignment horizontal="center" vertical="center"/>
    </xf>
    <xf numFmtId="0" fontId="71" fillId="13" borderId="29" xfId="9" applyFont="1" applyFill="1" applyBorder="1" applyAlignment="1">
      <alignment horizontal="center" vertical="center"/>
    </xf>
    <xf numFmtId="0" fontId="71" fillId="13" borderId="30" xfId="9" applyFont="1" applyFill="1" applyBorder="1" applyAlignment="1">
      <alignment horizontal="center" vertical="center"/>
    </xf>
    <xf numFmtId="0" fontId="71" fillId="13" borderId="1" xfId="9" applyFont="1" applyFill="1" applyBorder="1" applyAlignment="1">
      <alignment horizontal="center" vertical="center"/>
    </xf>
    <xf numFmtId="0" fontId="71" fillId="13" borderId="14" xfId="9" applyFont="1" applyFill="1" applyBorder="1" applyAlignment="1">
      <alignment horizontal="center" vertical="center"/>
    </xf>
    <xf numFmtId="0" fontId="71" fillId="16" borderId="1" xfId="9" applyFont="1" applyFill="1" applyBorder="1" applyAlignment="1">
      <alignment horizontal="center" vertical="center"/>
    </xf>
    <xf numFmtId="198" fontId="71" fillId="16" borderId="1" xfId="9" applyNumberFormat="1" applyFont="1" applyFill="1" applyBorder="1" applyAlignment="1">
      <alignment horizontal="center" vertical="center"/>
    </xf>
    <xf numFmtId="1" fontId="71" fillId="0" borderId="1" xfId="9" applyNumberFormat="1" applyFont="1" applyBorder="1" applyAlignment="1">
      <alignment horizontal="center" vertical="center"/>
    </xf>
    <xf numFmtId="0" fontId="71" fillId="16" borderId="14" xfId="9" applyFont="1" applyFill="1" applyBorder="1" applyAlignment="1">
      <alignment horizontal="center" vertical="center"/>
    </xf>
    <xf numFmtId="0" fontId="71" fillId="13" borderId="36" xfId="9" applyFont="1" applyFill="1" applyBorder="1" applyAlignment="1">
      <alignment horizontal="center" vertical="center"/>
    </xf>
    <xf numFmtId="0" fontId="71" fillId="13" borderId="15" xfId="9" applyFont="1" applyFill="1" applyBorder="1" applyAlignment="1">
      <alignment horizontal="center" vertical="center"/>
    </xf>
    <xf numFmtId="0" fontId="71" fillId="13" borderId="29" xfId="9" applyFont="1" applyFill="1" applyBorder="1" applyAlignment="1">
      <alignment horizontal="center" vertical="center" wrapText="1"/>
    </xf>
    <xf numFmtId="0" fontId="71" fillId="13" borderId="38" xfId="9" applyFont="1" applyFill="1" applyBorder="1" applyAlignment="1">
      <alignment horizontal="center" vertical="center"/>
    </xf>
    <xf numFmtId="0" fontId="71" fillId="13" borderId="45" xfId="9" applyFont="1" applyFill="1" applyBorder="1" applyAlignment="1">
      <alignment horizontal="center" vertical="center"/>
    </xf>
    <xf numFmtId="0" fontId="71" fillId="16" borderId="32" xfId="9" applyFont="1" applyFill="1" applyBorder="1" applyAlignment="1">
      <alignment horizontal="right" vertical="center"/>
    </xf>
    <xf numFmtId="0" fontId="71" fillId="16" borderId="57" xfId="9" applyFont="1" applyFill="1" applyBorder="1" applyAlignment="1">
      <alignment horizontal="right" vertical="center"/>
    </xf>
    <xf numFmtId="0" fontId="71" fillId="16" borderId="57" xfId="9" applyFont="1" applyFill="1" applyBorder="1" applyAlignment="1">
      <alignment horizontal="left" vertical="center"/>
    </xf>
    <xf numFmtId="0" fontId="71" fillId="16" borderId="35" xfId="9" applyFont="1" applyFill="1" applyBorder="1" applyAlignment="1">
      <alignment horizontal="left" vertical="center"/>
    </xf>
    <xf numFmtId="0" fontId="71" fillId="13" borderId="57" xfId="9" applyFont="1" applyFill="1" applyBorder="1" applyAlignment="1">
      <alignment horizontal="center" vertical="center"/>
    </xf>
    <xf numFmtId="0" fontId="71" fillId="0" borderId="45" xfId="9" applyFont="1" applyBorder="1" applyAlignment="1">
      <alignment horizontal="center" vertical="center"/>
    </xf>
    <xf numFmtId="0" fontId="71" fillId="0" borderId="35" xfId="9" applyFont="1" applyBorder="1" applyAlignment="1">
      <alignment horizontal="center" vertical="center"/>
    </xf>
    <xf numFmtId="0" fontId="71" fillId="16" borderId="45" xfId="9" applyFont="1" applyFill="1" applyBorder="1" applyAlignment="1">
      <alignment horizontal="center" vertical="center"/>
    </xf>
    <xf numFmtId="0" fontId="71" fillId="16" borderId="35" xfId="9" applyFont="1" applyFill="1" applyBorder="1" applyAlignment="1">
      <alignment horizontal="center" vertical="center"/>
    </xf>
    <xf numFmtId="0" fontId="71" fillId="0" borderId="1" xfId="9" applyFont="1" applyBorder="1" applyAlignment="1">
      <alignment horizontal="center" vertical="center"/>
    </xf>
    <xf numFmtId="198" fontId="71" fillId="0" borderId="1" xfId="9" applyNumberFormat="1" applyFont="1" applyBorder="1" applyAlignment="1">
      <alignment horizontal="center" vertical="center"/>
    </xf>
    <xf numFmtId="201" fontId="71" fillId="0" borderId="1" xfId="9" applyNumberFormat="1" applyFont="1" applyBorder="1" applyAlignment="1">
      <alignment horizontal="center" vertical="center"/>
    </xf>
    <xf numFmtId="2" fontId="71" fillId="0" borderId="1" xfId="9" applyNumberFormat="1" applyFont="1" applyBorder="1" applyAlignment="1">
      <alignment horizontal="center" vertical="center"/>
    </xf>
    <xf numFmtId="0" fontId="74" fillId="0" borderId="1" xfId="9" applyFont="1" applyBorder="1" applyAlignment="1">
      <alignment horizontal="center" vertical="center"/>
    </xf>
    <xf numFmtId="0" fontId="74" fillId="0" borderId="14" xfId="9" applyFont="1" applyBorder="1" applyAlignment="1">
      <alignment horizontal="center" vertical="center"/>
    </xf>
    <xf numFmtId="188" fontId="71" fillId="16" borderId="1" xfId="9" applyNumberFormat="1" applyFont="1" applyFill="1" applyBorder="1" applyAlignment="1">
      <alignment horizontal="center" vertical="center"/>
    </xf>
    <xf numFmtId="10" fontId="71" fillId="0" borderId="1" xfId="9" applyNumberFormat="1" applyFont="1" applyBorder="1" applyAlignment="1">
      <alignment horizontal="center" vertical="center"/>
    </xf>
    <xf numFmtId="10" fontId="71" fillId="16" borderId="1" xfId="10" applyNumberFormat="1" applyFont="1" applyFill="1" applyBorder="1" applyAlignment="1">
      <alignment horizontal="center" vertical="center"/>
    </xf>
    <xf numFmtId="10" fontId="71" fillId="16" borderId="14" xfId="10" applyNumberFormat="1" applyFont="1" applyFill="1" applyBorder="1" applyAlignment="1">
      <alignment horizontal="center" vertical="center"/>
    </xf>
    <xf numFmtId="181" fontId="71" fillId="16" borderId="1" xfId="10" applyNumberFormat="1" applyFont="1" applyFill="1" applyBorder="1" applyAlignment="1">
      <alignment horizontal="center" vertical="center"/>
    </xf>
    <xf numFmtId="181" fontId="71" fillId="16" borderId="14" xfId="10" applyNumberFormat="1" applyFont="1" applyFill="1" applyBorder="1" applyAlignment="1">
      <alignment horizontal="center" vertical="center"/>
    </xf>
    <xf numFmtId="0" fontId="71" fillId="0" borderId="38" xfId="9" applyFont="1" applyBorder="1" applyAlignment="1">
      <alignment horizontal="center" vertical="center"/>
    </xf>
    <xf numFmtId="0" fontId="71" fillId="0" borderId="36" xfId="9" applyFont="1" applyBorder="1" applyAlignment="1">
      <alignment horizontal="center" vertical="center"/>
    </xf>
    <xf numFmtId="200" fontId="71" fillId="0" borderId="36" xfId="2" applyNumberFormat="1" applyFont="1" applyFill="1" applyBorder="1" applyAlignment="1">
      <alignment horizontal="center" vertical="center"/>
    </xf>
    <xf numFmtId="177" fontId="71" fillId="0" borderId="36" xfId="2" applyNumberFormat="1" applyFont="1" applyFill="1" applyBorder="1" applyAlignment="1">
      <alignment horizontal="center" vertical="center"/>
    </xf>
    <xf numFmtId="0" fontId="71" fillId="16" borderId="36" xfId="9" applyFont="1" applyFill="1" applyBorder="1" applyAlignment="1">
      <alignment horizontal="center" vertical="center"/>
    </xf>
    <xf numFmtId="0" fontId="71" fillId="16" borderId="37" xfId="9" applyFont="1" applyFill="1" applyBorder="1" applyAlignment="1">
      <alignment horizontal="center" vertical="center"/>
    </xf>
    <xf numFmtId="181" fontId="71" fillId="0" borderId="1" xfId="9" applyNumberFormat="1" applyFont="1" applyBorder="1" applyAlignment="1">
      <alignment horizontal="center" vertical="center"/>
    </xf>
    <xf numFmtId="0" fontId="78" fillId="16" borderId="5" xfId="9" applyFont="1" applyFill="1" applyBorder="1" applyAlignment="1">
      <alignment horizontal="center" vertical="center" wrapText="1"/>
    </xf>
    <xf numFmtId="0" fontId="78" fillId="16" borderId="9" xfId="9" applyFont="1" applyFill="1" applyBorder="1" applyAlignment="1">
      <alignment horizontal="center" vertical="center" wrapText="1"/>
    </xf>
    <xf numFmtId="0" fontId="78" fillId="16" borderId="2" xfId="9" applyFont="1" applyFill="1" applyBorder="1" applyAlignment="1">
      <alignment horizontal="center" vertical="center" wrapText="1"/>
    </xf>
    <xf numFmtId="0" fontId="78" fillId="16" borderId="23" xfId="9" applyFont="1" applyFill="1" applyBorder="1" applyAlignment="1">
      <alignment horizontal="center" vertical="center" wrapText="1"/>
    </xf>
    <xf numFmtId="0" fontId="78" fillId="16" borderId="0" xfId="9" applyFont="1" applyFill="1" applyAlignment="1">
      <alignment horizontal="center" vertical="center" wrapText="1"/>
    </xf>
    <xf numFmtId="0" fontId="78" fillId="16" borderId="49" xfId="9" applyFont="1" applyFill="1" applyBorder="1" applyAlignment="1">
      <alignment horizontal="center" vertical="center" wrapText="1"/>
    </xf>
    <xf numFmtId="0" fontId="78" fillId="16" borderId="33" xfId="9" applyFont="1" applyFill="1" applyBorder="1" applyAlignment="1">
      <alignment horizontal="center" vertical="center" wrapText="1"/>
    </xf>
    <xf numFmtId="0" fontId="78" fillId="16" borderId="50" xfId="9" applyFont="1" applyFill="1" applyBorder="1" applyAlignment="1">
      <alignment horizontal="center" vertical="center" wrapText="1"/>
    </xf>
    <xf numFmtId="0" fontId="78" fillId="16" borderId="51" xfId="9" applyFont="1" applyFill="1" applyBorder="1" applyAlignment="1">
      <alignment horizontal="center" vertical="center" wrapText="1"/>
    </xf>
    <xf numFmtId="0" fontId="49" fillId="3" borderId="32" xfId="1" applyFont="1" applyFill="1" applyBorder="1" applyAlignment="1">
      <alignment horizontal="center" vertical="center"/>
    </xf>
    <xf numFmtId="0" fontId="49" fillId="3" borderId="35" xfId="1" applyFont="1" applyFill="1" applyBorder="1" applyAlignment="1">
      <alignment horizontal="center" vertical="center"/>
    </xf>
    <xf numFmtId="0" fontId="37" fillId="0" borderId="38" xfId="1" applyFont="1" applyBorder="1" applyAlignment="1">
      <alignment horizontal="left" vertical="center"/>
    </xf>
    <xf numFmtId="0" fontId="37" fillId="0" borderId="36" xfId="1" applyFont="1" applyBorder="1" applyAlignment="1">
      <alignment horizontal="left" vertical="center"/>
    </xf>
    <xf numFmtId="0" fontId="37" fillId="0" borderId="37" xfId="1" applyFont="1" applyBorder="1" applyAlignment="1">
      <alignment horizontal="left" vertical="center"/>
    </xf>
    <xf numFmtId="0" fontId="37" fillId="0" borderId="13" xfId="1" applyFont="1" applyBorder="1" applyAlignment="1">
      <alignment horizontal="center" vertical="center"/>
    </xf>
    <xf numFmtId="0" fontId="37" fillId="0" borderId="44" xfId="1" applyFont="1" applyBorder="1" applyAlignment="1">
      <alignment horizontal="center" vertical="center"/>
    </xf>
    <xf numFmtId="0" fontId="37" fillId="5" borderId="5" xfId="1" applyFont="1" applyFill="1" applyBorder="1" applyAlignment="1">
      <alignment horizontal="center" vertical="center" wrapText="1"/>
    </xf>
    <xf numFmtId="0" fontId="37" fillId="5" borderId="9" xfId="1" applyFont="1" applyFill="1" applyBorder="1" applyAlignment="1">
      <alignment horizontal="center" vertical="center" wrapText="1"/>
    </xf>
    <xf numFmtId="0" fontId="37" fillId="5" borderId="2" xfId="1" applyFont="1" applyFill="1" applyBorder="1" applyAlignment="1">
      <alignment horizontal="center" vertical="center" wrapText="1"/>
    </xf>
    <xf numFmtId="0" fontId="37" fillId="3" borderId="27" xfId="1" applyFont="1" applyFill="1" applyBorder="1" applyAlignment="1">
      <alignment horizontal="center" vertical="center"/>
    </xf>
    <xf numFmtId="0" fontId="37" fillId="3" borderId="28" xfId="1" applyFont="1" applyFill="1" applyBorder="1" applyAlignment="1">
      <alignment horizontal="center" vertical="center"/>
    </xf>
    <xf numFmtId="0" fontId="37" fillId="3" borderId="29" xfId="1" applyFont="1" applyFill="1" applyBorder="1" applyAlignment="1">
      <alignment horizontal="center" vertical="center"/>
    </xf>
    <xf numFmtId="0" fontId="37" fillId="3" borderId="40" xfId="1" applyFont="1" applyFill="1" applyBorder="1" applyAlignment="1">
      <alignment horizontal="center" vertical="center"/>
    </xf>
    <xf numFmtId="0" fontId="37" fillId="3" borderId="30" xfId="1" applyFont="1" applyFill="1" applyBorder="1" applyAlignment="1">
      <alignment horizontal="center" vertical="center"/>
    </xf>
    <xf numFmtId="180" fontId="37" fillId="3" borderId="36" xfId="1" applyNumberFormat="1" applyFont="1" applyFill="1" applyBorder="1" applyAlignment="1">
      <alignment horizontal="center" vertical="center"/>
    </xf>
    <xf numFmtId="180" fontId="37" fillId="3" borderId="45" xfId="1" applyNumberFormat="1" applyFont="1" applyFill="1" applyBorder="1" applyAlignment="1">
      <alignment horizontal="center" vertical="center"/>
    </xf>
    <xf numFmtId="0" fontId="37" fillId="3" borderId="37" xfId="1" applyFont="1" applyFill="1" applyBorder="1" applyAlignment="1">
      <alignment horizontal="center" vertical="center"/>
    </xf>
    <xf numFmtId="0" fontId="37" fillId="3" borderId="2" xfId="1" applyFont="1" applyFill="1" applyBorder="1" applyAlignment="1">
      <alignment horizontal="center" vertical="center"/>
    </xf>
    <xf numFmtId="0" fontId="37" fillId="3" borderId="10" xfId="1" applyFont="1" applyFill="1" applyBorder="1" applyAlignment="1">
      <alignment horizontal="center" vertical="center"/>
    </xf>
    <xf numFmtId="0" fontId="37" fillId="3" borderId="3" xfId="1" applyFont="1" applyFill="1" applyBorder="1" applyAlignment="1">
      <alignment horizontal="center" vertical="center" wrapText="1"/>
    </xf>
    <xf numFmtId="0" fontId="37" fillId="3" borderId="11" xfId="1" applyFont="1" applyFill="1" applyBorder="1" applyAlignment="1">
      <alignment horizontal="center" vertical="center" wrapText="1"/>
    </xf>
    <xf numFmtId="177" fontId="37" fillId="3" borderId="4" xfId="2" applyNumberFormat="1" applyFont="1" applyFill="1" applyBorder="1" applyAlignment="1">
      <alignment horizontal="center" vertical="center"/>
    </xf>
    <xf numFmtId="177" fontId="37" fillId="3" borderId="12" xfId="2" applyNumberFormat="1" applyFont="1" applyFill="1" applyBorder="1" applyAlignment="1">
      <alignment horizontal="center" vertical="center"/>
    </xf>
    <xf numFmtId="0" fontId="37" fillId="4" borderId="6" xfId="1" applyFont="1" applyFill="1" applyBorder="1" applyAlignment="1">
      <alignment horizontal="center" vertical="center" wrapText="1"/>
    </xf>
    <xf numFmtId="0" fontId="37" fillId="4" borderId="7" xfId="1" applyFont="1" applyFill="1" applyBorder="1" applyAlignment="1">
      <alignment horizontal="center" vertical="center"/>
    </xf>
    <xf numFmtId="0" fontId="37" fillId="4" borderId="8" xfId="1" applyFont="1" applyFill="1" applyBorder="1" applyAlignment="1">
      <alignment horizontal="center" vertical="center"/>
    </xf>
    <xf numFmtId="0" fontId="45" fillId="3" borderId="32" xfId="1" applyFont="1" applyFill="1" applyBorder="1" applyAlignment="1">
      <alignment horizontal="center" vertical="center"/>
    </xf>
    <xf numFmtId="0" fontId="45" fillId="3" borderId="35" xfId="1" applyFont="1" applyFill="1" applyBorder="1" applyAlignment="1">
      <alignment horizontal="center" vertical="center"/>
    </xf>
    <xf numFmtId="0" fontId="48" fillId="0" borderId="15" xfId="1" applyFont="1" applyBorder="1" applyAlignment="1">
      <alignment horizontal="left" vertical="center"/>
    </xf>
    <xf numFmtId="0" fontId="48" fillId="0" borderId="1" xfId="1" applyFont="1" applyBorder="1" applyAlignment="1">
      <alignment horizontal="left" vertical="center"/>
    </xf>
    <xf numFmtId="0" fontId="48" fillId="0" borderId="14" xfId="1" applyFont="1" applyBorder="1" applyAlignment="1">
      <alignment horizontal="left" vertical="center"/>
    </xf>
    <xf numFmtId="0" fontId="51" fillId="3" borderId="1" xfId="5" applyFont="1" applyFill="1" applyBorder="1" applyAlignment="1">
      <alignment horizontal="left" vertical="center"/>
    </xf>
    <xf numFmtId="0" fontId="52" fillId="10" borderId="0" xfId="5" applyFont="1" applyFill="1" applyAlignment="1">
      <alignment horizontal="center" vertical="center"/>
    </xf>
    <xf numFmtId="193" fontId="51" fillId="8" borderId="3" xfId="5" applyNumberFormat="1" applyFont="1" applyFill="1" applyBorder="1" applyAlignment="1">
      <alignment horizontal="center" vertical="center"/>
    </xf>
    <xf numFmtId="0" fontId="51" fillId="8" borderId="22" xfId="5" applyFont="1" applyFill="1" applyBorder="1" applyAlignment="1">
      <alignment horizontal="center" vertical="center"/>
    </xf>
    <xf numFmtId="0" fontId="51" fillId="0" borderId="1" xfId="5" applyFont="1" applyBorder="1" applyAlignment="1">
      <alignment horizontal="left" vertical="center"/>
    </xf>
    <xf numFmtId="0" fontId="51" fillId="0" borderId="47" xfId="5" applyFont="1" applyBorder="1" applyAlignment="1">
      <alignment horizontal="center" vertical="center"/>
    </xf>
    <xf numFmtId="0" fontId="51" fillId="0" borderId="44" xfId="5" applyFont="1" applyBorder="1" applyAlignment="1">
      <alignment horizontal="center" vertical="center"/>
    </xf>
    <xf numFmtId="0" fontId="51" fillId="8" borderId="47" xfId="5" applyFont="1" applyFill="1" applyBorder="1" applyAlignment="1">
      <alignment horizontal="center" vertical="center"/>
    </xf>
    <xf numFmtId="0" fontId="51" fillId="8" borderId="44" xfId="5" applyFont="1" applyFill="1" applyBorder="1" applyAlignment="1">
      <alignment horizontal="center" vertical="center"/>
    </xf>
    <xf numFmtId="0" fontId="51" fillId="0" borderId="47" xfId="5" applyFont="1" applyBorder="1" applyAlignment="1">
      <alignment horizontal="left" vertical="center"/>
    </xf>
    <xf numFmtId="0" fontId="51" fillId="0" borderId="21" xfId="5" applyFont="1" applyBorder="1" applyAlignment="1">
      <alignment horizontal="left" vertical="center"/>
    </xf>
    <xf numFmtId="0" fontId="51" fillId="0" borderId="44" xfId="5" applyFont="1" applyBorder="1" applyAlignment="1">
      <alignment horizontal="left" vertical="center"/>
    </xf>
    <xf numFmtId="0" fontId="51" fillId="0" borderId="1" xfId="5" applyFont="1" applyBorder="1" applyAlignment="1">
      <alignment horizontal="center" vertical="center"/>
    </xf>
    <xf numFmtId="0" fontId="61" fillId="15" borderId="47" xfId="5" applyFont="1" applyFill="1" applyBorder="1" applyAlignment="1">
      <alignment horizontal="center" vertical="center"/>
    </xf>
    <xf numFmtId="0" fontId="61" fillId="15" borderId="44" xfId="5" applyFont="1" applyFill="1" applyBorder="1" applyAlignment="1">
      <alignment horizontal="center" vertical="center"/>
    </xf>
    <xf numFmtId="0" fontId="61" fillId="15" borderId="1" xfId="5" applyFont="1" applyFill="1" applyBorder="1" applyAlignment="1">
      <alignment horizontal="left" vertical="center"/>
    </xf>
  </cellXfs>
  <cellStyles count="14">
    <cellStyle name="Normal 2" xfId="7" xr:uid="{00000000-0005-0000-0000-000000000000}"/>
    <cellStyle name="백분율 2" xfId="4" xr:uid="{00000000-0005-0000-0000-000001000000}"/>
    <cellStyle name="백분율 3" xfId="8" xr:uid="{00000000-0005-0000-0000-000002000000}"/>
    <cellStyle name="백분율 4" xfId="10" xr:uid="{00000000-0005-0000-0000-000003000000}"/>
    <cellStyle name="쉼표 [0] 2" xfId="2" xr:uid="{00000000-0005-0000-0000-000004000000}"/>
    <cellStyle name="쉼표 [0] 3" xfId="6" xr:uid="{00000000-0005-0000-0000-000005000000}"/>
    <cellStyle name="쉼표 [0] 4" xfId="13" xr:uid="{C571A27A-9A4A-4C8B-8475-8228F4169EDE}"/>
    <cellStyle name="통화 [0] 2" xfId="3" xr:uid="{00000000-0005-0000-0000-000006000000}"/>
    <cellStyle name="표준" xfId="0" builtinId="0"/>
    <cellStyle name="표준 2" xfId="1" xr:uid="{00000000-0005-0000-0000-000008000000}"/>
    <cellStyle name="표준 2 2" xfId="11" xr:uid="{8D606E1B-3E36-4160-8298-E7D88530E921}"/>
    <cellStyle name="표준 3" xfId="5" xr:uid="{00000000-0005-0000-0000-000009000000}"/>
    <cellStyle name="표준 4" xfId="9" xr:uid="{00000000-0005-0000-0000-00000A000000}"/>
    <cellStyle name="표준 5" xfId="12" xr:uid="{51547C76-06D0-4A03-8493-5E3F3CD653CA}"/>
  </cellStyles>
  <dxfs count="0"/>
  <tableStyles count="0" defaultTableStyle="TableStyleMedium2" defaultPivotStyle="PivotStyleLight16"/>
  <colors>
    <mruColors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94</xdr:col>
          <xdr:colOff>53340</xdr:colOff>
          <xdr:row>0</xdr:row>
          <xdr:rowOff>22860</xdr:rowOff>
        </xdr:from>
        <xdr:to>
          <xdr:col>128</xdr:col>
          <xdr:colOff>80473</xdr:colOff>
          <xdr:row>1</xdr:row>
          <xdr:rowOff>117686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3B7EEAA2-B67E-4E44-9839-39779EE67B8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[1]Sheet1!$C$14:$G$16" spid="_x0000_s70705"/>
                </a:ext>
              </a:extLst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9090660" y="22860"/>
              <a:ext cx="3166573" cy="91778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94</xdr:col>
          <xdr:colOff>53340</xdr:colOff>
          <xdr:row>0</xdr:row>
          <xdr:rowOff>22860</xdr:rowOff>
        </xdr:from>
        <xdr:to>
          <xdr:col>128</xdr:col>
          <xdr:colOff>80473</xdr:colOff>
          <xdr:row>1</xdr:row>
          <xdr:rowOff>117686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CC492EF6-70DE-4F0A-9219-ACEF48E5173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[1]Sheet1!$C$14:$G$16" spid="_x0000_s48293"/>
                </a:ext>
              </a:extLst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9090660" y="22860"/>
              <a:ext cx="3166573" cy="91778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485949</xdr:colOff>
          <xdr:row>1</xdr:row>
          <xdr:rowOff>118534</xdr:rowOff>
        </xdr:from>
        <xdr:to>
          <xdr:col>25</xdr:col>
          <xdr:colOff>347982</xdr:colOff>
          <xdr:row>3</xdr:row>
          <xdr:rowOff>325120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19CF63D7-60A8-4EC3-9587-F6BC2E6B438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[1]Sheet1!$C$14:$G$16" spid="_x0000_s47266"/>
                </a:ext>
              </a:extLst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7107729" y="621454"/>
              <a:ext cx="3184353" cy="92286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354330</xdr:colOff>
          <xdr:row>1</xdr:row>
          <xdr:rowOff>232410</xdr:rowOff>
        </xdr:from>
        <xdr:to>
          <xdr:col>18</xdr:col>
          <xdr:colOff>342900</xdr:colOff>
          <xdr:row>3</xdr:row>
          <xdr:rowOff>350520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5D99EB74-75E8-45EA-9142-72E22E3E39E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[1]Sheet1!$C$14:$G$16" spid="_x0000_s24846"/>
                </a:ext>
              </a:extLst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557010" y="735330"/>
              <a:ext cx="2876550" cy="83439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nerstone\&#49373;&#49328;&#54016;\Documents%20and%20Settings\jjwhje\&#48148;&#53461;%20&#54868;&#47732;\&#49373;&#49328;&#51648;&#49884;&#49436;\&#49373;&#49328;&#51648;&#49884;&#49436;\2010&#45380;\8&#50900;\WT(10082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WT"/>
    </sheet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54530-9CF6-4FB5-A51F-5D15069437C9}">
  <sheetPr>
    <tabColor rgb="FFFFFF00"/>
    <pageSetUpPr fitToPage="1"/>
  </sheetPr>
  <dimension ref="A1:EI67"/>
  <sheetViews>
    <sheetView showZeros="0" zoomScale="90" zoomScaleNormal="90" workbookViewId="0">
      <selection activeCell="A46" sqref="A46:D46"/>
    </sheetView>
  </sheetViews>
  <sheetFormatPr defaultColWidth="9" defaultRowHeight="17.399999999999999" x14ac:dyDescent="0.4"/>
  <cols>
    <col min="1" max="3" width="1.59765625" style="322" customWidth="1"/>
    <col min="4" max="4" width="2.59765625" style="322" customWidth="1"/>
    <col min="5" max="5" width="1.19921875" style="322" customWidth="1"/>
    <col min="6" max="6" width="1.3984375" style="322" customWidth="1"/>
    <col min="7" max="7" width="1.19921875" style="322" customWidth="1"/>
    <col min="8" max="8" width="1.3984375" style="322" customWidth="1"/>
    <col min="9" max="9" width="1.19921875" style="322" customWidth="1"/>
    <col min="10" max="10" width="2.5" style="322" customWidth="1"/>
    <col min="11" max="11" width="1.3984375" style="322" customWidth="1"/>
    <col min="12" max="12" width="1.19921875" style="322" hidden="1" customWidth="1"/>
    <col min="13" max="14" width="1.19921875" style="322" customWidth="1"/>
    <col min="15" max="15" width="3.69921875" style="322" customWidth="1"/>
    <col min="16" max="125" width="1.19921875" style="322" customWidth="1"/>
    <col min="126" max="127" width="1.3984375" style="322" customWidth="1"/>
    <col min="128" max="128" width="1.19921875" style="322" customWidth="1"/>
    <col min="129" max="129" width="1.3984375" style="322" customWidth="1"/>
    <col min="130" max="130" width="7.59765625" style="322" customWidth="1"/>
    <col min="131" max="16384" width="9" style="322"/>
  </cols>
  <sheetData>
    <row r="1" spans="1:132" ht="64.95" customHeight="1" x14ac:dyDescent="1.1000000000000001"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  <c r="N1" s="323"/>
      <c r="O1" s="323"/>
      <c r="P1" s="323"/>
      <c r="Q1" s="323"/>
      <c r="R1" s="323"/>
      <c r="S1" s="323"/>
      <c r="T1" s="323"/>
      <c r="U1" s="323"/>
      <c r="V1" s="323"/>
      <c r="W1" s="323"/>
      <c r="X1" s="323"/>
      <c r="Y1" s="323"/>
      <c r="Z1" s="323"/>
      <c r="AA1" s="323"/>
      <c r="AB1" s="323"/>
      <c r="AC1" s="323"/>
      <c r="AD1" s="323"/>
      <c r="AE1" s="323"/>
      <c r="AF1" s="323"/>
      <c r="AG1" s="323"/>
      <c r="AH1" s="323"/>
      <c r="AI1" s="323"/>
      <c r="AJ1" s="323"/>
      <c r="AK1" s="323"/>
      <c r="AL1" s="323"/>
      <c r="AM1" s="323"/>
      <c r="AN1" s="323"/>
      <c r="AO1" s="323"/>
      <c r="AP1" s="323"/>
      <c r="AQ1" s="323"/>
      <c r="AR1" s="323"/>
      <c r="AS1" s="323"/>
      <c r="AT1" s="323"/>
      <c r="AU1" s="446" t="s">
        <v>473</v>
      </c>
      <c r="AV1" s="446"/>
      <c r="AW1" s="446"/>
      <c r="AX1" s="446"/>
      <c r="AY1" s="446"/>
      <c r="AZ1" s="446"/>
      <c r="BA1" s="446"/>
      <c r="BB1" s="446"/>
      <c r="BC1" s="446"/>
      <c r="BD1" s="446"/>
      <c r="BE1" s="446"/>
      <c r="BF1" s="446"/>
      <c r="BG1" s="446"/>
      <c r="BH1" s="446"/>
      <c r="BI1" s="446"/>
      <c r="BJ1" s="446"/>
      <c r="BK1" s="446"/>
      <c r="BL1" s="446"/>
      <c r="BM1" s="446"/>
      <c r="BN1" s="446"/>
      <c r="BO1" s="446"/>
      <c r="BP1" s="446"/>
      <c r="BQ1" s="446"/>
      <c r="BR1" s="446"/>
      <c r="BS1" s="446"/>
      <c r="BT1" s="446"/>
      <c r="BU1" s="446"/>
      <c r="BV1" s="446"/>
      <c r="BW1" s="446"/>
      <c r="BX1" s="446"/>
      <c r="BY1" s="446"/>
      <c r="BZ1" s="446"/>
      <c r="CA1" s="446"/>
      <c r="CB1" s="446"/>
      <c r="CC1" s="446"/>
      <c r="CD1" s="446"/>
      <c r="CE1" s="446"/>
      <c r="CF1" s="446"/>
      <c r="CG1" s="446"/>
      <c r="CH1" s="446"/>
    </row>
    <row r="2" spans="1:132" ht="30" customHeight="1" x14ac:dyDescent="0.45"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  <c r="AG2" s="325"/>
      <c r="AH2" s="325"/>
      <c r="AI2" s="325"/>
      <c r="AJ2" s="325"/>
      <c r="AK2" s="325"/>
      <c r="AL2" s="325"/>
      <c r="AM2" s="325"/>
      <c r="AN2" s="325"/>
      <c r="AO2" s="325"/>
      <c r="AP2" s="325"/>
      <c r="AQ2" s="325"/>
      <c r="AR2" s="325"/>
      <c r="AS2" s="325"/>
      <c r="AT2" s="325"/>
      <c r="AU2" s="325"/>
      <c r="AV2" s="325"/>
      <c r="AW2" s="325"/>
      <c r="AX2" s="325"/>
      <c r="AY2" s="325"/>
      <c r="AZ2" s="325"/>
      <c r="BA2" s="325"/>
      <c r="BB2" s="325"/>
      <c r="BC2" s="325"/>
      <c r="BD2" s="325"/>
      <c r="BE2" s="325"/>
      <c r="BF2" s="325"/>
      <c r="BG2" s="325"/>
      <c r="BH2" s="325"/>
      <c r="BI2" s="325"/>
      <c r="BJ2" s="325"/>
      <c r="BK2" s="325"/>
      <c r="BL2" s="325"/>
      <c r="BM2" s="325"/>
      <c r="BN2" s="325"/>
      <c r="BO2" s="325"/>
      <c r="BP2" s="325"/>
      <c r="BQ2" s="325"/>
      <c r="BR2" s="325"/>
      <c r="BS2" s="325"/>
      <c r="BT2" s="325"/>
      <c r="BU2" s="325"/>
      <c r="BV2" s="325"/>
      <c r="BW2" s="325"/>
      <c r="BX2" s="325"/>
      <c r="BY2" s="325"/>
      <c r="BZ2" s="325"/>
      <c r="CA2" s="325"/>
      <c r="CB2" s="325"/>
      <c r="CC2" s="325"/>
      <c r="CD2" s="325"/>
      <c r="CE2" s="325"/>
      <c r="CF2" s="325"/>
      <c r="CG2" s="325"/>
      <c r="DB2" s="324"/>
      <c r="DC2" s="324"/>
      <c r="DD2" s="324"/>
      <c r="DE2" s="324"/>
      <c r="DF2" s="324"/>
      <c r="DG2" s="447">
        <v>46210</v>
      </c>
      <c r="DH2" s="447"/>
      <c r="DI2" s="447"/>
      <c r="DJ2" s="447"/>
      <c r="DK2" s="447"/>
      <c r="DL2" s="447"/>
      <c r="DM2" s="447"/>
      <c r="DN2" s="447"/>
      <c r="DO2" s="447"/>
      <c r="DP2" s="447"/>
      <c r="DQ2" s="447"/>
      <c r="DR2" s="447"/>
      <c r="DS2" s="447"/>
      <c r="DT2" s="447"/>
      <c r="DU2" s="447"/>
      <c r="DV2" s="447"/>
      <c r="DW2" s="447"/>
      <c r="DX2" s="447"/>
      <c r="DY2" s="447"/>
    </row>
    <row r="3" spans="1:132" ht="5.25" customHeight="1" x14ac:dyDescent="0.4">
      <c r="A3" s="324"/>
      <c r="B3" s="324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  <c r="AA3" s="324"/>
      <c r="AB3" s="324"/>
      <c r="AC3" s="324"/>
      <c r="AD3" s="324"/>
      <c r="AE3" s="324"/>
      <c r="AF3" s="324"/>
      <c r="AG3" s="324"/>
      <c r="AH3" s="324"/>
      <c r="AI3" s="324"/>
      <c r="AJ3" s="324"/>
      <c r="AK3" s="324"/>
      <c r="AL3" s="324"/>
      <c r="AM3" s="324"/>
      <c r="AN3" s="324"/>
      <c r="AO3" s="324"/>
      <c r="AP3" s="324"/>
      <c r="AQ3" s="324"/>
      <c r="AR3" s="324"/>
      <c r="AS3" s="324"/>
      <c r="AT3" s="324"/>
      <c r="AU3" s="324"/>
      <c r="AV3" s="324"/>
      <c r="AW3" s="324"/>
      <c r="AX3" s="324"/>
      <c r="AY3" s="324"/>
      <c r="AZ3" s="324"/>
      <c r="BA3" s="324"/>
      <c r="BB3" s="324"/>
      <c r="BC3" s="324"/>
      <c r="BD3" s="324"/>
      <c r="BE3" s="324"/>
      <c r="BF3" s="324"/>
      <c r="BG3" s="324"/>
      <c r="BH3" s="324"/>
      <c r="BI3" s="324"/>
      <c r="BJ3" s="324"/>
      <c r="BK3" s="324"/>
      <c r="BL3" s="324"/>
      <c r="BM3" s="324"/>
      <c r="BN3" s="324"/>
      <c r="BO3" s="324"/>
      <c r="BP3" s="324"/>
      <c r="BQ3" s="324"/>
      <c r="BR3" s="324"/>
      <c r="BS3" s="324"/>
      <c r="BT3" s="324"/>
      <c r="BU3" s="324"/>
      <c r="BV3" s="324"/>
      <c r="BW3" s="324"/>
      <c r="BX3" s="324"/>
      <c r="BY3" s="324"/>
      <c r="BZ3" s="324"/>
      <c r="CA3" s="324"/>
      <c r="CB3" s="324"/>
      <c r="CC3" s="324"/>
      <c r="CD3" s="324"/>
      <c r="CE3" s="324"/>
      <c r="CF3" s="324"/>
      <c r="CG3" s="324"/>
      <c r="CH3" s="324"/>
      <c r="CI3" s="324"/>
      <c r="CJ3" s="324"/>
      <c r="CK3" s="324"/>
      <c r="CL3" s="324"/>
      <c r="CM3" s="324"/>
      <c r="CN3" s="324"/>
      <c r="CO3" s="324"/>
      <c r="CP3" s="324"/>
      <c r="CQ3" s="324"/>
      <c r="CR3" s="324"/>
      <c r="CS3" s="324"/>
      <c r="CT3" s="324"/>
      <c r="CU3" s="324"/>
      <c r="CV3" s="324"/>
      <c r="CW3" s="324"/>
      <c r="CX3" s="324"/>
      <c r="CY3" s="324"/>
      <c r="CZ3" s="324"/>
      <c r="DA3" s="324"/>
      <c r="DB3" s="324"/>
      <c r="DC3" s="324"/>
      <c r="DD3" s="324"/>
      <c r="DE3" s="324"/>
      <c r="DF3" s="324"/>
      <c r="DG3" s="324"/>
      <c r="DH3" s="324"/>
      <c r="DI3" s="324"/>
      <c r="DJ3" s="324"/>
      <c r="DK3" s="324"/>
      <c r="DL3" s="324"/>
      <c r="DM3" s="324"/>
      <c r="DN3" s="324"/>
      <c r="DO3" s="324"/>
      <c r="DP3" s="324"/>
      <c r="DQ3" s="324"/>
      <c r="DR3" s="324"/>
      <c r="DS3" s="324"/>
      <c r="DT3" s="324"/>
      <c r="DU3" s="324"/>
      <c r="DV3" s="324"/>
      <c r="DW3" s="324"/>
      <c r="DX3" s="324"/>
      <c r="DY3" s="324"/>
    </row>
    <row r="4" spans="1:132" ht="25.05" customHeight="1" x14ac:dyDescent="0.4">
      <c r="A4" s="448" t="s">
        <v>474</v>
      </c>
      <c r="B4" s="449"/>
      <c r="C4" s="449"/>
      <c r="D4" s="449"/>
      <c r="E4" s="449"/>
      <c r="F4" s="449"/>
      <c r="G4" s="449"/>
      <c r="H4" s="449"/>
      <c r="I4" s="449"/>
      <c r="J4" s="449"/>
      <c r="K4" s="449"/>
      <c r="L4" s="449"/>
      <c r="M4" s="449"/>
      <c r="N4" s="449"/>
      <c r="O4" s="449"/>
      <c r="P4" s="449"/>
      <c r="Q4" s="449"/>
      <c r="R4" s="449"/>
      <c r="S4" s="449"/>
      <c r="T4" s="449"/>
      <c r="U4" s="449"/>
      <c r="V4" s="449"/>
      <c r="W4" s="449"/>
      <c r="X4" s="449"/>
      <c r="Y4" s="449"/>
      <c r="Z4" s="449"/>
      <c r="AA4" s="449"/>
      <c r="AB4" s="449"/>
      <c r="AC4" s="449"/>
      <c r="AD4" s="449"/>
      <c r="AE4" s="449"/>
      <c r="AF4" s="449"/>
      <c r="AG4" s="449"/>
      <c r="AH4" s="449"/>
      <c r="AI4" s="449"/>
      <c r="AJ4" s="449"/>
      <c r="AK4" s="449"/>
      <c r="AL4" s="449"/>
      <c r="AM4" s="449"/>
      <c r="AN4" s="449"/>
      <c r="AO4" s="449"/>
      <c r="AP4" s="449"/>
      <c r="AQ4" s="449"/>
      <c r="AR4" s="449"/>
      <c r="AS4" s="449"/>
      <c r="AT4" s="449"/>
      <c r="AU4" s="449"/>
      <c r="AV4" s="449"/>
      <c r="AW4" s="449"/>
      <c r="AX4" s="449"/>
      <c r="AY4" s="449"/>
      <c r="AZ4" s="449"/>
      <c r="BA4" s="449"/>
      <c r="BB4" s="449"/>
      <c r="BC4" s="449"/>
      <c r="BD4" s="449"/>
      <c r="BE4" s="449"/>
      <c r="BF4" s="449"/>
      <c r="BG4" s="449"/>
      <c r="BH4" s="449"/>
      <c r="BI4" s="449"/>
      <c r="BJ4" s="449"/>
      <c r="BK4" s="449"/>
      <c r="BL4" s="449"/>
      <c r="BM4" s="449"/>
      <c r="BN4" s="449"/>
      <c r="BO4" s="449"/>
      <c r="BP4" s="449"/>
      <c r="BQ4" s="449"/>
      <c r="BR4" s="449"/>
      <c r="BS4" s="449"/>
      <c r="BT4" s="449"/>
      <c r="BU4" s="449"/>
      <c r="BV4" s="449"/>
      <c r="BW4" s="449"/>
      <c r="BX4" s="449"/>
      <c r="BY4" s="449"/>
      <c r="BZ4" s="449"/>
      <c r="CA4" s="449"/>
      <c r="CB4" s="449"/>
      <c r="CC4" s="449"/>
      <c r="CD4" s="449"/>
      <c r="CE4" s="449"/>
      <c r="CF4" s="449"/>
      <c r="CG4" s="449"/>
      <c r="CH4" s="449"/>
      <c r="CI4" s="449"/>
      <c r="CJ4" s="449"/>
      <c r="CK4" s="449"/>
      <c r="CL4" s="449"/>
      <c r="CM4" s="449"/>
      <c r="CN4" s="449"/>
      <c r="CO4" s="449"/>
      <c r="CP4" s="449"/>
      <c r="CQ4" s="449"/>
      <c r="CR4" s="449"/>
      <c r="CS4" s="449"/>
      <c r="CT4" s="449"/>
      <c r="CU4" s="449"/>
      <c r="CV4" s="449"/>
      <c r="CW4" s="449"/>
      <c r="CX4" s="449"/>
      <c r="CY4" s="449"/>
      <c r="CZ4" s="449"/>
      <c r="DA4" s="449"/>
      <c r="DB4" s="449"/>
      <c r="DC4" s="449"/>
      <c r="DD4" s="449"/>
      <c r="DE4" s="449"/>
      <c r="DF4" s="449"/>
      <c r="DG4" s="449"/>
      <c r="DH4" s="449"/>
      <c r="DI4" s="449"/>
      <c r="DJ4" s="449"/>
      <c r="DK4" s="449"/>
      <c r="DL4" s="449"/>
      <c r="DM4" s="449"/>
      <c r="DN4" s="449"/>
      <c r="DO4" s="449"/>
      <c r="DP4" s="449"/>
      <c r="DQ4" s="449"/>
      <c r="DR4" s="449"/>
      <c r="DS4" s="449"/>
      <c r="DT4" s="449"/>
      <c r="DU4" s="449"/>
      <c r="DV4" s="449"/>
      <c r="DW4" s="449"/>
      <c r="DX4" s="449"/>
      <c r="DY4" s="449"/>
    </row>
    <row r="5" spans="1:132" s="334" customFormat="1" ht="10.050000000000001" customHeight="1" thickBot="1" x14ac:dyDescent="0.45">
      <c r="A5" s="335"/>
      <c r="B5" s="336"/>
      <c r="C5" s="336"/>
      <c r="D5" s="336"/>
      <c r="E5" s="336"/>
      <c r="F5" s="336"/>
      <c r="G5" s="336"/>
      <c r="H5" s="336"/>
      <c r="I5" s="336"/>
      <c r="J5" s="336"/>
      <c r="K5" s="336"/>
      <c r="L5" s="336"/>
      <c r="M5" s="336"/>
      <c r="N5" s="336"/>
      <c r="O5" s="336"/>
      <c r="P5" s="336"/>
      <c r="Q5" s="336"/>
      <c r="R5" s="336"/>
      <c r="S5" s="336"/>
      <c r="T5" s="336"/>
      <c r="U5" s="336"/>
      <c r="V5" s="336"/>
      <c r="W5" s="336"/>
      <c r="X5" s="336"/>
      <c r="Y5" s="336"/>
      <c r="Z5" s="336"/>
      <c r="AA5" s="336"/>
      <c r="AB5" s="336"/>
      <c r="AC5" s="336"/>
      <c r="AD5" s="336"/>
      <c r="AE5" s="336"/>
      <c r="AF5" s="336"/>
      <c r="AG5" s="336"/>
      <c r="AH5" s="336"/>
      <c r="AI5" s="336"/>
      <c r="AJ5" s="336"/>
      <c r="AK5" s="336"/>
      <c r="AL5" s="336"/>
      <c r="AM5" s="336"/>
      <c r="AN5" s="336"/>
      <c r="AO5" s="336"/>
      <c r="AP5" s="336"/>
      <c r="AQ5" s="336"/>
      <c r="AR5" s="336"/>
      <c r="AS5" s="336"/>
      <c r="AT5" s="336"/>
      <c r="AU5" s="336"/>
      <c r="AV5" s="336"/>
      <c r="AW5" s="336"/>
      <c r="AX5" s="336"/>
      <c r="AY5" s="336"/>
      <c r="AZ5" s="336"/>
      <c r="BA5" s="336"/>
      <c r="BB5" s="336"/>
      <c r="BC5" s="336"/>
      <c r="BD5" s="336"/>
      <c r="BE5" s="336"/>
      <c r="BF5" s="336"/>
      <c r="BG5" s="336"/>
      <c r="BH5" s="336"/>
      <c r="BI5" s="336"/>
      <c r="BJ5" s="336"/>
      <c r="BK5" s="336"/>
      <c r="BL5" s="336"/>
      <c r="BM5" s="336"/>
      <c r="BN5" s="336"/>
      <c r="BO5" s="336"/>
      <c r="BP5" s="336"/>
      <c r="BQ5" s="336"/>
      <c r="BR5" s="336"/>
      <c r="BS5" s="336"/>
      <c r="BT5" s="336"/>
      <c r="BU5" s="336"/>
      <c r="BV5" s="336"/>
      <c r="BW5" s="336"/>
      <c r="BX5" s="336"/>
      <c r="BY5" s="336"/>
      <c r="BZ5" s="336"/>
      <c r="CA5" s="336"/>
      <c r="CB5" s="336"/>
      <c r="CC5" s="336"/>
      <c r="CD5" s="336"/>
      <c r="CE5" s="336"/>
      <c r="CF5" s="336"/>
      <c r="CG5" s="336"/>
      <c r="CH5" s="336"/>
      <c r="CI5" s="336"/>
      <c r="CJ5" s="336"/>
      <c r="CK5" s="336"/>
      <c r="CL5" s="336"/>
      <c r="CM5" s="336"/>
      <c r="CN5" s="336"/>
      <c r="CO5" s="336"/>
      <c r="CP5" s="336"/>
      <c r="CQ5" s="336"/>
      <c r="CR5" s="336"/>
      <c r="CS5" s="336"/>
      <c r="CT5" s="336"/>
      <c r="CU5" s="336"/>
      <c r="CV5" s="336"/>
      <c r="CW5" s="336"/>
      <c r="CX5" s="336"/>
      <c r="CY5" s="336"/>
      <c r="CZ5" s="336"/>
      <c r="DA5" s="336"/>
      <c r="DB5" s="336"/>
      <c r="DC5" s="336"/>
      <c r="DD5" s="336"/>
      <c r="DE5" s="336"/>
      <c r="DF5" s="336"/>
      <c r="DG5" s="336"/>
      <c r="DH5" s="336"/>
      <c r="DI5" s="336"/>
      <c r="DJ5" s="336"/>
      <c r="DK5" s="336"/>
      <c r="DL5" s="336"/>
      <c r="DM5" s="336"/>
      <c r="DN5" s="336"/>
      <c r="DO5" s="336"/>
      <c r="DP5" s="336"/>
      <c r="DQ5" s="336"/>
      <c r="DR5" s="336"/>
      <c r="DS5" s="336"/>
      <c r="DT5" s="336"/>
      <c r="DU5" s="336"/>
      <c r="DV5" s="336"/>
      <c r="DW5" s="336"/>
      <c r="DX5" s="336"/>
      <c r="DY5" s="336"/>
    </row>
    <row r="6" spans="1:132" ht="19.95" customHeight="1" x14ac:dyDescent="0.45">
      <c r="A6" s="450" t="s">
        <v>475</v>
      </c>
      <c r="B6" s="436"/>
      <c r="C6" s="436"/>
      <c r="D6" s="436"/>
      <c r="E6" s="436"/>
      <c r="F6" s="436"/>
      <c r="G6" s="436"/>
      <c r="H6" s="436"/>
      <c r="I6" s="436"/>
      <c r="J6" s="436" t="s">
        <v>501</v>
      </c>
      <c r="K6" s="436"/>
      <c r="L6" s="436"/>
      <c r="M6" s="436"/>
      <c r="N6" s="436"/>
      <c r="O6" s="436"/>
      <c r="P6" s="436"/>
      <c r="Q6" s="436"/>
      <c r="R6" s="436"/>
      <c r="S6" s="436"/>
      <c r="T6" s="436"/>
      <c r="U6" s="436"/>
      <c r="V6" s="436"/>
      <c r="W6" s="436"/>
      <c r="X6" s="436"/>
      <c r="Y6" s="436"/>
      <c r="Z6" s="436"/>
      <c r="AA6" s="436"/>
      <c r="AB6" s="436"/>
      <c r="AC6" s="436"/>
      <c r="AD6" s="436"/>
      <c r="AE6" s="436"/>
      <c r="AF6" s="436" t="s">
        <v>476</v>
      </c>
      <c r="AG6" s="436"/>
      <c r="AH6" s="436"/>
      <c r="AI6" s="436"/>
      <c r="AJ6" s="436"/>
      <c r="AK6" s="436"/>
      <c r="AL6" s="436"/>
      <c r="AM6" s="436"/>
      <c r="AN6" s="436"/>
      <c r="AO6" s="436"/>
      <c r="AP6" s="436"/>
      <c r="AQ6" s="451"/>
      <c r="AR6" s="451"/>
      <c r="AS6" s="451"/>
      <c r="AT6" s="451"/>
      <c r="AU6" s="451"/>
      <c r="AV6" s="451"/>
      <c r="AW6" s="451"/>
      <c r="AX6" s="451"/>
      <c r="AY6" s="451"/>
      <c r="AZ6" s="443"/>
      <c r="BA6" s="452" t="s">
        <v>477</v>
      </c>
      <c r="BB6" s="453"/>
      <c r="BC6" s="453"/>
      <c r="BD6" s="453"/>
      <c r="BE6" s="454" t="s">
        <v>478</v>
      </c>
      <c r="BF6" s="454"/>
      <c r="BG6" s="454"/>
      <c r="BH6" s="454"/>
      <c r="BI6" s="454"/>
      <c r="BJ6" s="454"/>
      <c r="BK6" s="454"/>
      <c r="BL6" s="454"/>
      <c r="BM6" s="454"/>
      <c r="BN6" s="454"/>
      <c r="BO6" s="454"/>
      <c r="BP6" s="451"/>
      <c r="BQ6" s="451"/>
      <c r="BR6" s="451"/>
      <c r="BS6" s="451"/>
      <c r="BT6" s="451"/>
      <c r="BU6" s="451"/>
      <c r="BV6" s="451"/>
      <c r="BW6" s="451"/>
      <c r="BX6" s="443"/>
      <c r="BY6" s="435" t="s">
        <v>479</v>
      </c>
      <c r="BZ6" s="436"/>
      <c r="CA6" s="436"/>
      <c r="CB6" s="436"/>
      <c r="CC6" s="436"/>
      <c r="CD6" s="437" t="s">
        <v>480</v>
      </c>
      <c r="CE6" s="438"/>
      <c r="CF6" s="438"/>
      <c r="CG6" s="438"/>
      <c r="CH6" s="438"/>
      <c r="CI6" s="438"/>
      <c r="CJ6" s="438"/>
      <c r="CK6" s="439"/>
      <c r="CL6" s="440"/>
      <c r="CM6" s="441"/>
      <c r="CN6" s="441"/>
      <c r="CO6" s="441"/>
      <c r="CP6" s="441"/>
      <c r="CQ6" s="441"/>
      <c r="CR6" s="441"/>
      <c r="CS6" s="441"/>
      <c r="CT6" s="441"/>
      <c r="CU6" s="441"/>
      <c r="CV6" s="442"/>
      <c r="CW6" s="436" t="s">
        <v>481</v>
      </c>
      <c r="CX6" s="436"/>
      <c r="CY6" s="436"/>
      <c r="CZ6" s="436"/>
      <c r="DA6" s="436"/>
      <c r="DB6" s="436"/>
      <c r="DC6" s="436"/>
      <c r="DD6" s="436"/>
      <c r="DE6" s="436"/>
      <c r="DF6" s="436"/>
      <c r="DG6" s="436"/>
      <c r="DH6" s="436"/>
      <c r="DI6" s="436"/>
      <c r="DJ6" s="443">
        <v>1</v>
      </c>
      <c r="DK6" s="444"/>
      <c r="DL6" s="444"/>
      <c r="DM6" s="444"/>
      <c r="DN6" s="444"/>
      <c r="DO6" s="444"/>
      <c r="DP6" s="444"/>
      <c r="DQ6" s="444"/>
      <c r="DR6" s="444"/>
      <c r="DS6" s="444"/>
      <c r="DT6" s="444"/>
      <c r="DU6" s="435" t="s">
        <v>482</v>
      </c>
      <c r="DV6" s="436"/>
      <c r="DW6" s="436"/>
      <c r="DX6" s="436"/>
      <c r="DY6" s="445"/>
    </row>
    <row r="7" spans="1:132" ht="19.95" customHeight="1" thickBot="1" x14ac:dyDescent="0.45">
      <c r="A7" s="464" t="s">
        <v>517</v>
      </c>
      <c r="B7" s="460"/>
      <c r="C7" s="460"/>
      <c r="D7" s="460"/>
      <c r="E7" s="460"/>
      <c r="F7" s="460"/>
      <c r="G7" s="460"/>
      <c r="H7" s="460"/>
      <c r="I7" s="460"/>
      <c r="J7" s="460" t="s">
        <v>583</v>
      </c>
      <c r="K7" s="460"/>
      <c r="L7" s="460"/>
      <c r="M7" s="460"/>
      <c r="N7" s="460"/>
      <c r="O7" s="460"/>
      <c r="P7" s="460"/>
      <c r="Q7" s="460"/>
      <c r="R7" s="460"/>
      <c r="S7" s="460"/>
      <c r="T7" s="460"/>
      <c r="U7" s="460"/>
      <c r="V7" s="460"/>
      <c r="W7" s="460"/>
      <c r="X7" s="460"/>
      <c r="Y7" s="460"/>
      <c r="Z7" s="460"/>
      <c r="AA7" s="460"/>
      <c r="AB7" s="460"/>
      <c r="AC7" s="460"/>
      <c r="AD7" s="460"/>
      <c r="AE7" s="460"/>
      <c r="AF7" s="460" t="s">
        <v>483</v>
      </c>
      <c r="AG7" s="460"/>
      <c r="AH7" s="460"/>
      <c r="AI7" s="460"/>
      <c r="AJ7" s="460"/>
      <c r="AK7" s="460"/>
      <c r="AL7" s="460"/>
      <c r="AM7" s="460"/>
      <c r="AN7" s="460"/>
      <c r="AO7" s="460"/>
      <c r="AP7" s="460"/>
      <c r="AQ7" s="459"/>
      <c r="AR7" s="465"/>
      <c r="AS7" s="465"/>
      <c r="AT7" s="465"/>
      <c r="AU7" s="465"/>
      <c r="AV7" s="465"/>
      <c r="AW7" s="465"/>
      <c r="AX7" s="465"/>
      <c r="AY7" s="465"/>
      <c r="AZ7" s="465"/>
      <c r="BA7" s="465"/>
      <c r="BB7" s="465"/>
      <c r="BC7" s="465"/>
      <c r="BD7" s="466"/>
      <c r="BE7" s="455" t="s">
        <v>528</v>
      </c>
      <c r="BF7" s="456"/>
      <c r="BG7" s="456"/>
      <c r="BH7" s="456"/>
      <c r="BI7" s="456"/>
      <c r="BJ7" s="456"/>
      <c r="BK7" s="456"/>
      <c r="BL7" s="456"/>
      <c r="BM7" s="456"/>
      <c r="BN7" s="456"/>
      <c r="BO7" s="457"/>
      <c r="BP7" s="467" t="s">
        <v>529</v>
      </c>
      <c r="BQ7" s="468"/>
      <c r="BR7" s="468"/>
      <c r="BS7" s="468"/>
      <c r="BT7" s="468"/>
      <c r="BU7" s="468"/>
      <c r="BV7" s="468"/>
      <c r="BW7" s="468"/>
      <c r="BX7" s="468"/>
      <c r="BY7" s="468"/>
      <c r="BZ7" s="468"/>
      <c r="CA7" s="468"/>
      <c r="CB7" s="468"/>
      <c r="CC7" s="469"/>
      <c r="CD7" s="455" t="s">
        <v>484</v>
      </c>
      <c r="CE7" s="456"/>
      <c r="CF7" s="456"/>
      <c r="CG7" s="456"/>
      <c r="CH7" s="456"/>
      <c r="CI7" s="456"/>
      <c r="CJ7" s="456"/>
      <c r="CK7" s="457"/>
      <c r="CL7" s="458">
        <v>6</v>
      </c>
      <c r="CM7" s="458"/>
      <c r="CN7" s="458"/>
      <c r="CO7" s="458"/>
      <c r="CP7" s="458"/>
      <c r="CQ7" s="458"/>
      <c r="CR7" s="458"/>
      <c r="CS7" s="459"/>
      <c r="CT7" s="457" t="s">
        <v>485</v>
      </c>
      <c r="CU7" s="460"/>
      <c r="CV7" s="460"/>
      <c r="CW7" s="455" t="s">
        <v>486</v>
      </c>
      <c r="CX7" s="456"/>
      <c r="CY7" s="456"/>
      <c r="CZ7" s="456"/>
      <c r="DA7" s="456"/>
      <c r="DB7" s="456"/>
      <c r="DC7" s="456"/>
      <c r="DD7" s="456"/>
      <c r="DE7" s="456"/>
      <c r="DF7" s="456"/>
      <c r="DG7" s="456"/>
      <c r="DH7" s="456"/>
      <c r="DI7" s="457"/>
      <c r="DJ7" s="461">
        <f>CH52</f>
        <v>0</v>
      </c>
      <c r="DK7" s="462"/>
      <c r="DL7" s="462"/>
      <c r="DM7" s="462"/>
      <c r="DN7" s="462"/>
      <c r="DO7" s="462"/>
      <c r="DP7" s="462"/>
      <c r="DQ7" s="462"/>
      <c r="DR7" s="462"/>
      <c r="DS7" s="462"/>
      <c r="DT7" s="462"/>
      <c r="DU7" s="457" t="s">
        <v>487</v>
      </c>
      <c r="DV7" s="460"/>
      <c r="DW7" s="460"/>
      <c r="DX7" s="460"/>
      <c r="DY7" s="463"/>
    </row>
    <row r="8" spans="1:132" ht="19.95" customHeight="1" x14ac:dyDescent="0.4">
      <c r="A8" s="326"/>
      <c r="B8" s="326"/>
      <c r="C8" s="326"/>
      <c r="D8" s="326"/>
      <c r="E8" s="326"/>
      <c r="F8" s="326"/>
      <c r="G8" s="326"/>
      <c r="H8" s="326"/>
      <c r="I8" s="326"/>
      <c r="J8" s="326"/>
      <c r="K8" s="326"/>
      <c r="L8" s="326"/>
      <c r="M8" s="326"/>
      <c r="N8" s="326"/>
      <c r="O8" s="326"/>
      <c r="P8" s="326"/>
      <c r="Q8" s="326"/>
      <c r="R8" s="326"/>
      <c r="S8" s="326"/>
      <c r="T8" s="326"/>
      <c r="U8" s="326"/>
      <c r="V8" s="326"/>
      <c r="W8" s="326"/>
      <c r="X8" s="326"/>
      <c r="Y8" s="326"/>
      <c r="Z8" s="326"/>
      <c r="AA8" s="326"/>
      <c r="AB8" s="326"/>
      <c r="AC8" s="326"/>
      <c r="AD8" s="326"/>
      <c r="AE8" s="326"/>
      <c r="AF8" s="326"/>
      <c r="AG8" s="326"/>
      <c r="AH8" s="326"/>
      <c r="AI8" s="326"/>
      <c r="AJ8" s="326"/>
      <c r="AK8" s="326"/>
      <c r="AL8" s="326"/>
      <c r="AM8" s="326"/>
      <c r="AN8" s="326"/>
      <c r="AO8" s="326"/>
      <c r="AP8" s="326"/>
      <c r="AQ8" s="326"/>
      <c r="AR8" s="326"/>
      <c r="AS8" s="326"/>
      <c r="AT8" s="326"/>
      <c r="AU8" s="326"/>
      <c r="AV8" s="326"/>
      <c r="AW8" s="326"/>
      <c r="AX8" s="326"/>
      <c r="AY8" s="326"/>
      <c r="AZ8" s="326"/>
      <c r="BA8" s="326"/>
      <c r="BB8" s="326"/>
      <c r="BC8" s="326"/>
      <c r="BD8" s="326"/>
      <c r="BE8" s="326"/>
      <c r="BF8" s="326"/>
      <c r="BG8" s="326"/>
      <c r="BH8" s="326"/>
      <c r="BI8" s="326"/>
      <c r="BJ8" s="326"/>
      <c r="BK8" s="326"/>
      <c r="BL8" s="326"/>
      <c r="BM8" s="326"/>
      <c r="BN8" s="326"/>
      <c r="BO8" s="326"/>
      <c r="BP8" s="326"/>
      <c r="BQ8" s="326"/>
      <c r="BR8" s="326"/>
      <c r="CR8" s="326"/>
      <c r="CS8" s="326"/>
      <c r="DG8" s="326"/>
      <c r="DH8" s="326"/>
      <c r="DI8" s="326"/>
      <c r="DJ8" s="326"/>
      <c r="DK8" s="326"/>
      <c r="DL8" s="326"/>
      <c r="DM8" s="326"/>
      <c r="DN8" s="326"/>
      <c r="DO8" s="326"/>
      <c r="DP8" s="326"/>
      <c r="DQ8" s="326"/>
      <c r="DR8" s="326"/>
      <c r="DS8" s="326"/>
      <c r="DT8" s="326"/>
      <c r="DU8" s="326"/>
      <c r="DV8" s="326"/>
      <c r="DW8" s="326"/>
      <c r="DX8" s="326"/>
      <c r="DY8" s="326"/>
    </row>
    <row r="9" spans="1:132" ht="25.05" customHeight="1" x14ac:dyDescent="0.4">
      <c r="A9" s="448" t="s">
        <v>488</v>
      </c>
      <c r="B9" s="449"/>
      <c r="C9" s="449"/>
      <c r="D9" s="449"/>
      <c r="E9" s="449"/>
      <c r="F9" s="449"/>
      <c r="G9" s="449"/>
      <c r="H9" s="449"/>
      <c r="I9" s="449"/>
      <c r="J9" s="449"/>
      <c r="K9" s="449"/>
      <c r="L9" s="449"/>
      <c r="M9" s="449"/>
      <c r="N9" s="449"/>
      <c r="O9" s="449"/>
      <c r="P9" s="449"/>
      <c r="Q9" s="449"/>
      <c r="R9" s="449"/>
      <c r="S9" s="449"/>
      <c r="T9" s="449"/>
      <c r="U9" s="449"/>
      <c r="V9" s="449"/>
      <c r="W9" s="449"/>
      <c r="X9" s="449"/>
      <c r="Y9" s="449"/>
      <c r="Z9" s="449"/>
      <c r="AA9" s="449"/>
      <c r="AB9" s="449"/>
      <c r="AC9" s="449"/>
      <c r="AD9" s="449"/>
      <c r="AE9" s="449"/>
      <c r="AF9" s="449"/>
      <c r="AG9" s="449"/>
      <c r="AH9" s="449"/>
      <c r="AI9" s="449"/>
      <c r="AJ9" s="449"/>
      <c r="AK9" s="449"/>
      <c r="AL9" s="449"/>
      <c r="AM9" s="449"/>
      <c r="AN9" s="449"/>
      <c r="AO9" s="449"/>
      <c r="AP9" s="449"/>
      <c r="AQ9" s="449"/>
      <c r="AR9" s="449"/>
      <c r="AS9" s="449"/>
      <c r="AT9" s="449"/>
      <c r="AU9" s="449"/>
      <c r="AV9" s="449"/>
      <c r="AW9" s="449"/>
      <c r="AX9" s="449"/>
      <c r="AY9" s="449"/>
      <c r="AZ9" s="449"/>
      <c r="BA9" s="449"/>
      <c r="BB9" s="449"/>
      <c r="BC9" s="449"/>
      <c r="BD9" s="449"/>
      <c r="BE9" s="449"/>
      <c r="BF9" s="449"/>
      <c r="BG9" s="449"/>
      <c r="BH9" s="449"/>
      <c r="BI9" s="449"/>
      <c r="BJ9" s="449"/>
      <c r="BK9" s="449"/>
      <c r="BL9" s="449"/>
      <c r="BM9" s="329"/>
      <c r="BP9" s="449" t="s">
        <v>503</v>
      </c>
      <c r="BQ9" s="449"/>
      <c r="BR9" s="449"/>
      <c r="BS9" s="449"/>
      <c r="BT9" s="449"/>
      <c r="BU9" s="449"/>
      <c r="BV9" s="449"/>
      <c r="BW9" s="449"/>
      <c r="BX9" s="449"/>
      <c r="BY9" s="449"/>
      <c r="BZ9" s="449"/>
      <c r="CA9" s="449"/>
      <c r="CB9" s="449"/>
      <c r="CC9" s="449"/>
      <c r="CD9" s="449"/>
      <c r="CE9" s="449"/>
      <c r="CF9" s="449"/>
      <c r="CG9" s="449"/>
      <c r="CH9" s="449"/>
      <c r="CI9" s="449"/>
      <c r="CJ9" s="449"/>
      <c r="CK9" s="449"/>
      <c r="CL9" s="449"/>
      <c r="CM9" s="449"/>
      <c r="CN9" s="449"/>
      <c r="CO9" s="449"/>
      <c r="CP9" s="449"/>
      <c r="CQ9" s="449"/>
      <c r="CR9" s="449"/>
      <c r="CS9" s="449"/>
      <c r="CT9" s="449"/>
      <c r="CU9" s="449"/>
      <c r="CV9" s="449"/>
      <c r="CW9" s="449"/>
      <c r="CX9" s="449"/>
      <c r="CY9" s="449"/>
      <c r="CZ9" s="449"/>
      <c r="DA9" s="449"/>
      <c r="DB9" s="449"/>
      <c r="DC9" s="449"/>
      <c r="DD9" s="449"/>
      <c r="DE9" s="449"/>
      <c r="DF9" s="449"/>
      <c r="DG9" s="449"/>
      <c r="DH9" s="449"/>
      <c r="DI9" s="449"/>
      <c r="DJ9" s="449"/>
      <c r="DK9" s="449"/>
      <c r="DL9" s="449"/>
      <c r="DM9" s="449"/>
      <c r="DN9" s="449"/>
      <c r="DO9" s="449"/>
      <c r="DP9" s="449"/>
      <c r="DQ9" s="449"/>
      <c r="DR9" s="449"/>
      <c r="DS9" s="449"/>
      <c r="DT9" s="449"/>
      <c r="DU9" s="449"/>
      <c r="DV9" s="449"/>
      <c r="DW9" s="449"/>
      <c r="DX9" s="449"/>
      <c r="DY9" s="449"/>
    </row>
    <row r="10" spans="1:132" ht="10.050000000000001" customHeight="1" thickBot="1" x14ac:dyDescent="0.45">
      <c r="A10" s="331"/>
      <c r="B10" s="331"/>
      <c r="C10" s="331"/>
      <c r="D10" s="331"/>
      <c r="E10" s="326"/>
      <c r="F10" s="326"/>
      <c r="G10" s="326"/>
      <c r="H10" s="326"/>
      <c r="I10" s="326"/>
      <c r="J10" s="326"/>
      <c r="K10" s="326"/>
      <c r="L10" s="326"/>
      <c r="M10" s="326"/>
      <c r="N10" s="326"/>
      <c r="O10" s="326"/>
      <c r="P10" s="326"/>
      <c r="Q10" s="326"/>
      <c r="R10" s="326"/>
      <c r="S10" s="326"/>
      <c r="T10" s="326"/>
      <c r="U10" s="326"/>
      <c r="V10" s="326"/>
      <c r="W10" s="326"/>
      <c r="X10" s="326"/>
      <c r="Y10" s="326"/>
      <c r="Z10" s="326"/>
      <c r="AA10" s="326"/>
      <c r="AB10" s="326"/>
      <c r="AC10" s="326"/>
      <c r="AD10" s="326"/>
      <c r="AE10" s="326"/>
      <c r="AF10" s="326"/>
      <c r="AG10" s="326"/>
      <c r="AH10" s="326"/>
      <c r="AI10" s="326"/>
      <c r="AJ10" s="326"/>
      <c r="AK10" s="326"/>
      <c r="AL10" s="326"/>
      <c r="AM10" s="326"/>
      <c r="AN10" s="326"/>
      <c r="AO10" s="326"/>
      <c r="AP10" s="326"/>
      <c r="AQ10" s="326"/>
      <c r="AR10" s="326"/>
      <c r="AS10" s="326"/>
      <c r="AT10" s="326"/>
      <c r="AU10" s="326"/>
      <c r="AV10" s="326"/>
      <c r="AW10" s="326"/>
      <c r="AX10" s="326"/>
      <c r="AY10" s="326"/>
      <c r="AZ10" s="326"/>
      <c r="BA10" s="326"/>
      <c r="BB10" s="326"/>
      <c r="BC10" s="326"/>
      <c r="BD10" s="326"/>
      <c r="BE10" s="326"/>
      <c r="BF10" s="326"/>
      <c r="BG10" s="326"/>
      <c r="BH10" s="326"/>
      <c r="BI10" s="326"/>
      <c r="BJ10" s="326"/>
      <c r="BK10" s="326"/>
      <c r="BL10" s="326"/>
      <c r="BM10" s="326"/>
      <c r="BN10" s="326"/>
      <c r="BO10" s="326"/>
      <c r="BP10" s="326"/>
      <c r="BQ10" s="326"/>
      <c r="BR10" s="326"/>
      <c r="BS10" s="326"/>
      <c r="BT10" s="326"/>
      <c r="BU10" s="326"/>
      <c r="BV10" s="326"/>
      <c r="BW10" s="326"/>
      <c r="BX10" s="326"/>
      <c r="BY10" s="326"/>
      <c r="BZ10" s="326"/>
      <c r="CA10" s="326"/>
      <c r="CB10" s="326"/>
      <c r="CC10" s="326"/>
      <c r="CD10" s="326"/>
      <c r="CE10" s="326"/>
      <c r="CF10" s="326"/>
      <c r="CG10" s="326"/>
      <c r="CH10" s="326"/>
      <c r="CI10" s="326"/>
      <c r="CJ10" s="326"/>
      <c r="CK10" s="326"/>
      <c r="CL10" s="326"/>
      <c r="CM10" s="326"/>
      <c r="CN10" s="326"/>
      <c r="CO10" s="326"/>
      <c r="CP10" s="326"/>
      <c r="CQ10" s="326"/>
      <c r="CR10" s="326"/>
      <c r="CS10" s="326"/>
      <c r="CT10" s="326"/>
      <c r="CU10" s="326"/>
      <c r="CV10" s="326"/>
      <c r="CW10" s="326"/>
      <c r="CX10" s="326"/>
      <c r="CY10" s="326"/>
      <c r="CZ10" s="326"/>
      <c r="DA10" s="326"/>
      <c r="DB10" s="326"/>
      <c r="DC10" s="326"/>
      <c r="DD10" s="326"/>
      <c r="DE10" s="326"/>
      <c r="DF10" s="326"/>
      <c r="DG10" s="326"/>
      <c r="DH10" s="326"/>
      <c r="DI10" s="326"/>
      <c r="DJ10" s="326"/>
      <c r="DK10" s="326"/>
      <c r="DL10" s="326"/>
      <c r="DM10" s="326"/>
      <c r="DN10" s="326"/>
      <c r="DO10" s="326"/>
      <c r="DP10" s="326"/>
      <c r="DQ10" s="326"/>
      <c r="DR10" s="326"/>
      <c r="DS10" s="326"/>
      <c r="DT10" s="326"/>
      <c r="DU10" s="326"/>
      <c r="DV10" s="326"/>
      <c r="DW10" s="326"/>
      <c r="DX10" s="326"/>
      <c r="DY10" s="326"/>
    </row>
    <row r="11" spans="1:132" ht="19.95" customHeight="1" x14ac:dyDescent="0.4">
      <c r="A11" s="477" t="s">
        <v>505</v>
      </c>
      <c r="B11" s="478"/>
      <c r="C11" s="478"/>
      <c r="D11" s="479"/>
      <c r="E11" s="483" t="s">
        <v>415</v>
      </c>
      <c r="F11" s="478"/>
      <c r="G11" s="478"/>
      <c r="H11" s="478"/>
      <c r="I11" s="478"/>
      <c r="J11" s="478"/>
      <c r="K11" s="478"/>
      <c r="L11" s="478"/>
      <c r="M11" s="478"/>
      <c r="N11" s="478"/>
      <c r="O11" s="479"/>
      <c r="P11" s="483" t="s">
        <v>402</v>
      </c>
      <c r="Q11" s="478"/>
      <c r="R11" s="478"/>
      <c r="S11" s="478"/>
      <c r="T11" s="478"/>
      <c r="U11" s="478"/>
      <c r="V11" s="478"/>
      <c r="W11" s="478"/>
      <c r="X11" s="478"/>
      <c r="Y11" s="479"/>
      <c r="Z11" s="485" t="s">
        <v>492</v>
      </c>
      <c r="AA11" s="486"/>
      <c r="AB11" s="486"/>
      <c r="AC11" s="486"/>
      <c r="AD11" s="486"/>
      <c r="AE11" s="486"/>
      <c r="AF11" s="486"/>
      <c r="AG11" s="486"/>
      <c r="AH11" s="486"/>
      <c r="AI11" s="486"/>
      <c r="AJ11" s="486"/>
      <c r="AK11" s="487"/>
      <c r="AL11" s="485" t="s">
        <v>493</v>
      </c>
      <c r="AM11" s="486"/>
      <c r="AN11" s="486"/>
      <c r="AO11" s="486"/>
      <c r="AP11" s="486"/>
      <c r="AQ11" s="486"/>
      <c r="AR11" s="486"/>
      <c r="AS11" s="486"/>
      <c r="AT11" s="486"/>
      <c r="AU11" s="486"/>
      <c r="AV11" s="486"/>
      <c r="AW11" s="486"/>
      <c r="AX11" s="487"/>
      <c r="AY11" s="491" t="s">
        <v>496</v>
      </c>
      <c r="AZ11" s="492"/>
      <c r="BA11" s="492"/>
      <c r="BB11" s="492"/>
      <c r="BC11" s="492"/>
      <c r="BD11" s="492"/>
      <c r="BE11" s="492"/>
      <c r="BF11" s="492"/>
      <c r="BG11" s="492"/>
      <c r="BH11" s="492"/>
      <c r="BI11" s="492"/>
      <c r="BJ11" s="492"/>
      <c r="BK11" s="492"/>
      <c r="BL11" s="493"/>
      <c r="BM11" s="326"/>
      <c r="BN11" s="326"/>
      <c r="BP11" s="497" t="s">
        <v>504</v>
      </c>
      <c r="BQ11" s="498"/>
      <c r="BR11" s="498"/>
      <c r="BS11" s="498"/>
      <c r="BT11" s="498"/>
      <c r="BU11" s="498"/>
      <c r="BV11" s="501" t="s">
        <v>432</v>
      </c>
      <c r="BW11" s="502"/>
      <c r="BX11" s="502"/>
      <c r="BY11" s="502"/>
      <c r="BZ11" s="502"/>
      <c r="CA11" s="502"/>
      <c r="CB11" s="502"/>
      <c r="CC11" s="502"/>
      <c r="CD11" s="470" t="s">
        <v>439</v>
      </c>
      <c r="CE11" s="471"/>
      <c r="CF11" s="471"/>
      <c r="CG11" s="471"/>
      <c r="CH11" s="471"/>
      <c r="CI11" s="471"/>
      <c r="CJ11" s="471"/>
      <c r="CK11" s="471"/>
      <c r="CL11" s="471"/>
      <c r="CM11" s="471"/>
      <c r="CN11" s="471"/>
      <c r="CO11" s="471"/>
      <c r="CP11" s="471"/>
      <c r="CQ11" s="471"/>
      <c r="CR11" s="471"/>
      <c r="CS11" s="471"/>
      <c r="CT11" s="471"/>
      <c r="CU11" s="471"/>
      <c r="CV11" s="471"/>
      <c r="CW11" s="471"/>
      <c r="CX11" s="471"/>
      <c r="CY11" s="471"/>
      <c r="CZ11" s="471"/>
      <c r="DA11" s="471"/>
      <c r="DB11" s="471"/>
      <c r="DC11" s="471"/>
      <c r="DD11" s="471"/>
      <c r="DE11" s="471"/>
      <c r="DF11" s="471"/>
      <c r="DG11" s="471"/>
      <c r="DH11" s="471"/>
      <c r="DI11" s="471"/>
      <c r="DJ11" s="471"/>
      <c r="DK11" s="471"/>
      <c r="DL11" s="471"/>
      <c r="DM11" s="471"/>
      <c r="DN11" s="471"/>
      <c r="DO11" s="471"/>
      <c r="DP11" s="471"/>
      <c r="DQ11" s="471"/>
      <c r="DR11" s="471"/>
      <c r="DS11" s="471"/>
      <c r="DT11" s="471"/>
      <c r="DU11" s="471"/>
      <c r="DV11" s="471"/>
      <c r="DW11" s="471"/>
      <c r="DX11" s="471"/>
      <c r="DY11" s="472"/>
    </row>
    <row r="12" spans="1:132" ht="19.95" customHeight="1" x14ac:dyDescent="0.4">
      <c r="A12" s="480"/>
      <c r="B12" s="481"/>
      <c r="C12" s="481"/>
      <c r="D12" s="482"/>
      <c r="E12" s="484"/>
      <c r="F12" s="481"/>
      <c r="G12" s="481"/>
      <c r="H12" s="481"/>
      <c r="I12" s="481"/>
      <c r="J12" s="481"/>
      <c r="K12" s="481"/>
      <c r="L12" s="481"/>
      <c r="M12" s="481"/>
      <c r="N12" s="481"/>
      <c r="O12" s="482"/>
      <c r="P12" s="484"/>
      <c r="Q12" s="481"/>
      <c r="R12" s="481"/>
      <c r="S12" s="481"/>
      <c r="T12" s="481"/>
      <c r="U12" s="481"/>
      <c r="V12" s="481"/>
      <c r="W12" s="481"/>
      <c r="X12" s="481"/>
      <c r="Y12" s="482"/>
      <c r="Z12" s="488"/>
      <c r="AA12" s="489"/>
      <c r="AB12" s="489"/>
      <c r="AC12" s="489"/>
      <c r="AD12" s="489"/>
      <c r="AE12" s="489"/>
      <c r="AF12" s="489"/>
      <c r="AG12" s="489"/>
      <c r="AH12" s="489"/>
      <c r="AI12" s="489"/>
      <c r="AJ12" s="489"/>
      <c r="AK12" s="490"/>
      <c r="AL12" s="488"/>
      <c r="AM12" s="489"/>
      <c r="AN12" s="489"/>
      <c r="AO12" s="489"/>
      <c r="AP12" s="489"/>
      <c r="AQ12" s="489"/>
      <c r="AR12" s="489"/>
      <c r="AS12" s="489"/>
      <c r="AT12" s="489"/>
      <c r="AU12" s="489"/>
      <c r="AV12" s="489"/>
      <c r="AW12" s="489"/>
      <c r="AX12" s="490"/>
      <c r="AY12" s="494"/>
      <c r="AZ12" s="495"/>
      <c r="BA12" s="495"/>
      <c r="BB12" s="495"/>
      <c r="BC12" s="495"/>
      <c r="BD12" s="495"/>
      <c r="BE12" s="495"/>
      <c r="BF12" s="495"/>
      <c r="BG12" s="495"/>
      <c r="BH12" s="495"/>
      <c r="BI12" s="495"/>
      <c r="BJ12" s="495"/>
      <c r="BK12" s="495"/>
      <c r="BL12" s="496"/>
      <c r="BM12" s="326"/>
      <c r="BN12" s="326"/>
      <c r="BP12" s="499"/>
      <c r="BQ12" s="500"/>
      <c r="BR12" s="500"/>
      <c r="BS12" s="500"/>
      <c r="BT12" s="500"/>
      <c r="BU12" s="500"/>
      <c r="BV12" s="503"/>
      <c r="BW12" s="503"/>
      <c r="BX12" s="503"/>
      <c r="BY12" s="503"/>
      <c r="BZ12" s="503"/>
      <c r="CA12" s="503"/>
      <c r="CB12" s="503"/>
      <c r="CC12" s="503"/>
      <c r="CD12" s="473" t="s">
        <v>434</v>
      </c>
      <c r="CE12" s="474"/>
      <c r="CF12" s="474"/>
      <c r="CG12" s="474"/>
      <c r="CH12" s="474"/>
      <c r="CI12" s="474"/>
      <c r="CJ12" s="474"/>
      <c r="CK12" s="474"/>
      <c r="CL12" s="475"/>
      <c r="CM12" s="474" t="s">
        <v>435</v>
      </c>
      <c r="CN12" s="474"/>
      <c r="CO12" s="474"/>
      <c r="CP12" s="474"/>
      <c r="CQ12" s="474"/>
      <c r="CR12" s="474"/>
      <c r="CS12" s="474"/>
      <c r="CT12" s="474"/>
      <c r="CU12" s="474"/>
      <c r="CV12" s="475"/>
      <c r="CW12" s="474" t="s">
        <v>436</v>
      </c>
      <c r="CX12" s="474"/>
      <c r="CY12" s="474"/>
      <c r="CZ12" s="474"/>
      <c r="DA12" s="474"/>
      <c r="DB12" s="474"/>
      <c r="DC12" s="474"/>
      <c r="DD12" s="474"/>
      <c r="DE12" s="474"/>
      <c r="DF12" s="475"/>
      <c r="DG12" s="474" t="s">
        <v>437</v>
      </c>
      <c r="DH12" s="474"/>
      <c r="DI12" s="474"/>
      <c r="DJ12" s="474"/>
      <c r="DK12" s="474"/>
      <c r="DL12" s="474"/>
      <c r="DM12" s="474"/>
      <c r="DN12" s="474"/>
      <c r="DO12" s="474"/>
      <c r="DP12" s="475"/>
      <c r="DQ12" s="474" t="s">
        <v>506</v>
      </c>
      <c r="DR12" s="474"/>
      <c r="DS12" s="474"/>
      <c r="DT12" s="474"/>
      <c r="DU12" s="474"/>
      <c r="DV12" s="474"/>
      <c r="DW12" s="474"/>
      <c r="DX12" s="474"/>
      <c r="DY12" s="476"/>
    </row>
    <row r="13" spans="1:132" ht="19.95" customHeight="1" x14ac:dyDescent="0.4">
      <c r="A13" s="506">
        <v>1</v>
      </c>
      <c r="B13" s="507"/>
      <c r="C13" s="507"/>
      <c r="D13" s="507"/>
      <c r="E13" s="507" t="s">
        <v>416</v>
      </c>
      <c r="F13" s="507"/>
      <c r="G13" s="507"/>
      <c r="H13" s="507"/>
      <c r="I13" s="507"/>
      <c r="J13" s="507"/>
      <c r="K13" s="507"/>
      <c r="L13" s="507"/>
      <c r="M13" s="507"/>
      <c r="N13" s="507"/>
      <c r="O13" s="507"/>
      <c r="P13" s="507" t="s">
        <v>471</v>
      </c>
      <c r="Q13" s="507"/>
      <c r="R13" s="507"/>
      <c r="S13" s="507"/>
      <c r="T13" s="507"/>
      <c r="U13" s="507"/>
      <c r="V13" s="507"/>
      <c r="W13" s="507"/>
      <c r="X13" s="507"/>
      <c r="Y13" s="507"/>
      <c r="Z13" s="517">
        <v>350</v>
      </c>
      <c r="AA13" s="518"/>
      <c r="AB13" s="518"/>
      <c r="AC13" s="518"/>
      <c r="AD13" s="518"/>
      <c r="AE13" s="518"/>
      <c r="AF13" s="518"/>
      <c r="AG13" s="518"/>
      <c r="AH13" s="518"/>
      <c r="AI13" s="518"/>
      <c r="AJ13" s="518"/>
      <c r="AK13" s="519"/>
      <c r="AL13" s="520">
        <f>Z13*$DJ$6</f>
        <v>350</v>
      </c>
      <c r="AM13" s="521"/>
      <c r="AN13" s="521"/>
      <c r="AO13" s="521"/>
      <c r="AP13" s="521"/>
      <c r="AQ13" s="521"/>
      <c r="AR13" s="521"/>
      <c r="AS13" s="521"/>
      <c r="AT13" s="521"/>
      <c r="AU13" s="521"/>
      <c r="AV13" s="521"/>
      <c r="AW13" s="521"/>
      <c r="AX13" s="522"/>
      <c r="AY13" s="523">
        <v>1730</v>
      </c>
      <c r="AZ13" s="524"/>
      <c r="BA13" s="524"/>
      <c r="BB13" s="524"/>
      <c r="BC13" s="524"/>
      <c r="BD13" s="524"/>
      <c r="BE13" s="524"/>
      <c r="BF13" s="524"/>
      <c r="BG13" s="524"/>
      <c r="BH13" s="524"/>
      <c r="BI13" s="524"/>
      <c r="BJ13" s="524"/>
      <c r="BK13" s="524"/>
      <c r="BL13" s="525"/>
      <c r="BM13" s="326"/>
      <c r="BN13" s="326"/>
      <c r="BP13" s="499">
        <v>1</v>
      </c>
      <c r="BQ13" s="500"/>
      <c r="BR13" s="500"/>
      <c r="BS13" s="500"/>
      <c r="BT13" s="500"/>
      <c r="BU13" s="500"/>
      <c r="BV13" s="514"/>
      <c r="BW13" s="514"/>
      <c r="BX13" s="514"/>
      <c r="BY13" s="514"/>
      <c r="BZ13" s="514"/>
      <c r="CA13" s="514"/>
      <c r="CB13" s="514"/>
      <c r="CC13" s="514"/>
      <c r="CD13" s="515"/>
      <c r="CE13" s="504"/>
      <c r="CF13" s="504"/>
      <c r="CG13" s="504"/>
      <c r="CH13" s="504"/>
      <c r="CI13" s="504"/>
      <c r="CJ13" s="504"/>
      <c r="CK13" s="504"/>
      <c r="CL13" s="516"/>
      <c r="CM13" s="504"/>
      <c r="CN13" s="504"/>
      <c r="CO13" s="504"/>
      <c r="CP13" s="504"/>
      <c r="CQ13" s="504"/>
      <c r="CR13" s="504"/>
      <c r="CS13" s="504"/>
      <c r="CT13" s="504"/>
      <c r="CU13" s="504"/>
      <c r="CV13" s="516"/>
      <c r="CW13" s="504"/>
      <c r="CX13" s="504"/>
      <c r="CY13" s="504"/>
      <c r="CZ13" s="504"/>
      <c r="DA13" s="504"/>
      <c r="DB13" s="504"/>
      <c r="DC13" s="504"/>
      <c r="DD13" s="504"/>
      <c r="DE13" s="504"/>
      <c r="DF13" s="516"/>
      <c r="DG13" s="504"/>
      <c r="DH13" s="504"/>
      <c r="DI13" s="504"/>
      <c r="DJ13" s="504"/>
      <c r="DK13" s="504"/>
      <c r="DL13" s="504"/>
      <c r="DM13" s="504"/>
      <c r="DN13" s="504"/>
      <c r="DO13" s="504"/>
      <c r="DP13" s="516"/>
      <c r="DQ13" s="504"/>
      <c r="DR13" s="504"/>
      <c r="DS13" s="504"/>
      <c r="DT13" s="504"/>
      <c r="DU13" s="504"/>
      <c r="DV13" s="504"/>
      <c r="DW13" s="504"/>
      <c r="DX13" s="504"/>
      <c r="DY13" s="505"/>
    </row>
    <row r="14" spans="1:132" ht="19.95" customHeight="1" x14ac:dyDescent="0.4">
      <c r="A14" s="506">
        <v>2</v>
      </c>
      <c r="B14" s="507"/>
      <c r="C14" s="507"/>
      <c r="D14" s="507"/>
      <c r="E14" s="507" t="s">
        <v>417</v>
      </c>
      <c r="F14" s="507"/>
      <c r="G14" s="507"/>
      <c r="H14" s="507"/>
      <c r="I14" s="507"/>
      <c r="J14" s="507"/>
      <c r="K14" s="507"/>
      <c r="L14" s="507"/>
      <c r="M14" s="507"/>
      <c r="N14" s="507"/>
      <c r="O14" s="507"/>
      <c r="P14" s="507" t="s">
        <v>470</v>
      </c>
      <c r="Q14" s="507"/>
      <c r="R14" s="507"/>
      <c r="S14" s="507"/>
      <c r="T14" s="507"/>
      <c r="U14" s="507"/>
      <c r="V14" s="507"/>
      <c r="W14" s="507"/>
      <c r="X14" s="507"/>
      <c r="Y14" s="507"/>
      <c r="Z14" s="508">
        <v>112.5</v>
      </c>
      <c r="AA14" s="509"/>
      <c r="AB14" s="509"/>
      <c r="AC14" s="509"/>
      <c r="AD14" s="509"/>
      <c r="AE14" s="509"/>
      <c r="AF14" s="509"/>
      <c r="AG14" s="509"/>
      <c r="AH14" s="509"/>
      <c r="AI14" s="509"/>
      <c r="AJ14" s="509"/>
      <c r="AK14" s="510"/>
      <c r="AL14" s="511">
        <f>Z14*$DJ$6</f>
        <v>112.5</v>
      </c>
      <c r="AM14" s="511"/>
      <c r="AN14" s="511"/>
      <c r="AO14" s="511"/>
      <c r="AP14" s="511"/>
      <c r="AQ14" s="511"/>
      <c r="AR14" s="511"/>
      <c r="AS14" s="511"/>
      <c r="AT14" s="511"/>
      <c r="AU14" s="511"/>
      <c r="AV14" s="511"/>
      <c r="AW14" s="511"/>
      <c r="AX14" s="511"/>
      <c r="AY14" s="512">
        <v>560</v>
      </c>
      <c r="AZ14" s="512"/>
      <c r="BA14" s="512"/>
      <c r="BB14" s="512"/>
      <c r="BC14" s="512"/>
      <c r="BD14" s="512"/>
      <c r="BE14" s="512"/>
      <c r="BF14" s="512"/>
      <c r="BG14" s="512"/>
      <c r="BH14" s="512"/>
      <c r="BI14" s="512"/>
      <c r="BJ14" s="512"/>
      <c r="BK14" s="512"/>
      <c r="BL14" s="513"/>
      <c r="BM14" s="326"/>
      <c r="BN14" s="326"/>
      <c r="BO14" s="326"/>
      <c r="BP14" s="499">
        <v>2</v>
      </c>
      <c r="BQ14" s="500"/>
      <c r="BR14" s="500"/>
      <c r="BS14" s="500"/>
      <c r="BT14" s="500"/>
      <c r="BU14" s="500"/>
      <c r="BV14" s="514"/>
      <c r="BW14" s="514"/>
      <c r="BX14" s="514"/>
      <c r="BY14" s="514"/>
      <c r="BZ14" s="514"/>
      <c r="CA14" s="514"/>
      <c r="CB14" s="514"/>
      <c r="CC14" s="514"/>
      <c r="CD14" s="515"/>
      <c r="CE14" s="504"/>
      <c r="CF14" s="504"/>
      <c r="CG14" s="504"/>
      <c r="CH14" s="504"/>
      <c r="CI14" s="504"/>
      <c r="CJ14" s="504"/>
      <c r="CK14" s="504"/>
      <c r="CL14" s="516"/>
      <c r="CM14" s="504"/>
      <c r="CN14" s="504"/>
      <c r="CO14" s="504"/>
      <c r="CP14" s="504"/>
      <c r="CQ14" s="504"/>
      <c r="CR14" s="504"/>
      <c r="CS14" s="504"/>
      <c r="CT14" s="504"/>
      <c r="CU14" s="504"/>
      <c r="CV14" s="516"/>
      <c r="CW14" s="504"/>
      <c r="CX14" s="504"/>
      <c r="CY14" s="504"/>
      <c r="CZ14" s="504"/>
      <c r="DA14" s="504"/>
      <c r="DB14" s="504"/>
      <c r="DC14" s="504"/>
      <c r="DD14" s="504"/>
      <c r="DE14" s="504"/>
      <c r="DF14" s="516"/>
      <c r="DG14" s="504"/>
      <c r="DH14" s="504"/>
      <c r="DI14" s="504"/>
      <c r="DJ14" s="504"/>
      <c r="DK14" s="504"/>
      <c r="DL14" s="504"/>
      <c r="DM14" s="504"/>
      <c r="DN14" s="504"/>
      <c r="DO14" s="504"/>
      <c r="DP14" s="516"/>
      <c r="DQ14" s="504"/>
      <c r="DR14" s="504"/>
      <c r="DS14" s="504"/>
      <c r="DT14" s="504"/>
      <c r="DU14" s="504"/>
      <c r="DV14" s="504"/>
      <c r="DW14" s="504"/>
      <c r="DX14" s="504"/>
      <c r="DY14" s="505"/>
    </row>
    <row r="15" spans="1:132" ht="19.95" customHeight="1" x14ac:dyDescent="0.4">
      <c r="A15" s="506">
        <v>3</v>
      </c>
      <c r="B15" s="507"/>
      <c r="C15" s="507"/>
      <c r="D15" s="507"/>
      <c r="E15" s="507" t="s">
        <v>418</v>
      </c>
      <c r="F15" s="507"/>
      <c r="G15" s="507"/>
      <c r="H15" s="507"/>
      <c r="I15" s="507"/>
      <c r="J15" s="507"/>
      <c r="K15" s="507"/>
      <c r="L15" s="507"/>
      <c r="M15" s="507"/>
      <c r="N15" s="507"/>
      <c r="O15" s="507"/>
      <c r="P15" s="507" t="s">
        <v>404</v>
      </c>
      <c r="Q15" s="507"/>
      <c r="R15" s="507"/>
      <c r="S15" s="507"/>
      <c r="T15" s="507"/>
      <c r="U15" s="507"/>
      <c r="V15" s="507"/>
      <c r="W15" s="507"/>
      <c r="X15" s="507"/>
      <c r="Y15" s="507"/>
      <c r="Z15" s="526">
        <v>37.5</v>
      </c>
      <c r="AA15" s="526"/>
      <c r="AB15" s="526"/>
      <c r="AC15" s="526"/>
      <c r="AD15" s="526"/>
      <c r="AE15" s="526"/>
      <c r="AF15" s="526"/>
      <c r="AG15" s="526"/>
      <c r="AH15" s="526"/>
      <c r="AI15" s="526"/>
      <c r="AJ15" s="526"/>
      <c r="AK15" s="526"/>
      <c r="AL15" s="511">
        <f t="shared" ref="AL15:AL27" si="0">Z15*$DJ$6</f>
        <v>37.5</v>
      </c>
      <c r="AM15" s="511"/>
      <c r="AN15" s="511"/>
      <c r="AO15" s="511"/>
      <c r="AP15" s="511"/>
      <c r="AQ15" s="511"/>
      <c r="AR15" s="511"/>
      <c r="AS15" s="511"/>
      <c r="AT15" s="511"/>
      <c r="AU15" s="511"/>
      <c r="AV15" s="511"/>
      <c r="AW15" s="511"/>
      <c r="AX15" s="511"/>
      <c r="AY15" s="512">
        <v>285</v>
      </c>
      <c r="AZ15" s="512"/>
      <c r="BA15" s="512"/>
      <c r="BB15" s="512"/>
      <c r="BC15" s="512"/>
      <c r="BD15" s="512"/>
      <c r="BE15" s="512"/>
      <c r="BF15" s="512"/>
      <c r="BG15" s="512"/>
      <c r="BH15" s="512"/>
      <c r="BI15" s="512"/>
      <c r="BJ15" s="512"/>
      <c r="BK15" s="512"/>
      <c r="BL15" s="513"/>
      <c r="BM15" s="326"/>
      <c r="BN15" s="326"/>
      <c r="BP15" s="499">
        <v>3</v>
      </c>
      <c r="BQ15" s="500"/>
      <c r="BR15" s="500"/>
      <c r="BS15" s="500"/>
      <c r="BT15" s="500"/>
      <c r="BU15" s="500"/>
      <c r="BV15" s="514"/>
      <c r="BW15" s="514"/>
      <c r="BX15" s="514"/>
      <c r="BY15" s="514"/>
      <c r="BZ15" s="514"/>
      <c r="CA15" s="514"/>
      <c r="CB15" s="514"/>
      <c r="CC15" s="514"/>
      <c r="CD15" s="515"/>
      <c r="CE15" s="504"/>
      <c r="CF15" s="504"/>
      <c r="CG15" s="504"/>
      <c r="CH15" s="504"/>
      <c r="CI15" s="504"/>
      <c r="CJ15" s="504"/>
      <c r="CK15" s="504"/>
      <c r="CL15" s="516"/>
      <c r="CM15" s="504"/>
      <c r="CN15" s="504"/>
      <c r="CO15" s="504"/>
      <c r="CP15" s="504"/>
      <c r="CQ15" s="504"/>
      <c r="CR15" s="504"/>
      <c r="CS15" s="504"/>
      <c r="CT15" s="504"/>
      <c r="CU15" s="504"/>
      <c r="CV15" s="516"/>
      <c r="CW15" s="504"/>
      <c r="CX15" s="504"/>
      <c r="CY15" s="504"/>
      <c r="CZ15" s="504"/>
      <c r="DA15" s="504"/>
      <c r="DB15" s="504"/>
      <c r="DC15" s="504"/>
      <c r="DD15" s="504"/>
      <c r="DE15" s="504"/>
      <c r="DF15" s="516"/>
      <c r="DG15" s="504"/>
      <c r="DH15" s="504"/>
      <c r="DI15" s="504"/>
      <c r="DJ15" s="504"/>
      <c r="DK15" s="504"/>
      <c r="DL15" s="504"/>
      <c r="DM15" s="504"/>
      <c r="DN15" s="504"/>
      <c r="DO15" s="504"/>
      <c r="DP15" s="516"/>
      <c r="DQ15" s="504"/>
      <c r="DR15" s="504"/>
      <c r="DS15" s="504"/>
      <c r="DT15" s="504"/>
      <c r="DU15" s="504"/>
      <c r="DV15" s="504"/>
      <c r="DW15" s="504"/>
      <c r="DX15" s="504"/>
      <c r="DY15" s="505"/>
    </row>
    <row r="16" spans="1:132" ht="19.95" customHeight="1" x14ac:dyDescent="0.4">
      <c r="A16" s="528" t="s">
        <v>580</v>
      </c>
      <c r="B16" s="529"/>
      <c r="C16" s="529"/>
      <c r="D16" s="529"/>
      <c r="E16" s="507" t="s">
        <v>418</v>
      </c>
      <c r="F16" s="507"/>
      <c r="G16" s="507"/>
      <c r="H16" s="507"/>
      <c r="I16" s="507"/>
      <c r="J16" s="507"/>
      <c r="K16" s="507"/>
      <c r="L16" s="507"/>
      <c r="M16" s="507"/>
      <c r="N16" s="507"/>
      <c r="O16" s="507"/>
      <c r="P16" s="507" t="s">
        <v>404</v>
      </c>
      <c r="Q16" s="507"/>
      <c r="R16" s="507"/>
      <c r="S16" s="507"/>
      <c r="T16" s="507"/>
      <c r="U16" s="507"/>
      <c r="V16" s="507"/>
      <c r="W16" s="507"/>
      <c r="X16" s="507"/>
      <c r="Y16" s="507"/>
      <c r="Z16" s="526">
        <v>20</v>
      </c>
      <c r="AA16" s="526"/>
      <c r="AB16" s="526"/>
      <c r="AC16" s="526"/>
      <c r="AD16" s="526"/>
      <c r="AE16" s="526"/>
      <c r="AF16" s="526"/>
      <c r="AG16" s="526"/>
      <c r="AH16" s="526"/>
      <c r="AI16" s="526"/>
      <c r="AJ16" s="526"/>
      <c r="AK16" s="526"/>
      <c r="AL16" s="511">
        <f t="shared" si="0"/>
        <v>20</v>
      </c>
      <c r="AM16" s="511"/>
      <c r="AN16" s="511"/>
      <c r="AO16" s="511"/>
      <c r="AP16" s="511"/>
      <c r="AQ16" s="511"/>
      <c r="AR16" s="511"/>
      <c r="AS16" s="511"/>
      <c r="AT16" s="511"/>
      <c r="AU16" s="511"/>
      <c r="AV16" s="511"/>
      <c r="AW16" s="511"/>
      <c r="AX16" s="511"/>
      <c r="AY16" s="512">
        <v>25</v>
      </c>
      <c r="AZ16" s="512"/>
      <c r="BA16" s="512"/>
      <c r="BB16" s="512"/>
      <c r="BC16" s="512"/>
      <c r="BD16" s="512"/>
      <c r="BE16" s="512"/>
      <c r="BF16" s="512"/>
      <c r="BG16" s="512"/>
      <c r="BH16" s="512"/>
      <c r="BI16" s="512"/>
      <c r="BJ16" s="512"/>
      <c r="BK16" s="512"/>
      <c r="BL16" s="513"/>
      <c r="BM16" s="326"/>
      <c r="BN16" s="326"/>
      <c r="BO16" s="326"/>
      <c r="BP16" s="499">
        <v>4</v>
      </c>
      <c r="BQ16" s="500"/>
      <c r="BR16" s="500"/>
      <c r="BS16" s="500"/>
      <c r="BT16" s="500"/>
      <c r="BU16" s="500"/>
      <c r="BV16" s="514"/>
      <c r="BW16" s="514"/>
      <c r="BX16" s="514"/>
      <c r="BY16" s="514"/>
      <c r="BZ16" s="514"/>
      <c r="CA16" s="514"/>
      <c r="CB16" s="514"/>
      <c r="CC16" s="514"/>
      <c r="CD16" s="515"/>
      <c r="CE16" s="504"/>
      <c r="CF16" s="504"/>
      <c r="CG16" s="504"/>
      <c r="CH16" s="504"/>
      <c r="CI16" s="504"/>
      <c r="CJ16" s="504"/>
      <c r="CK16" s="504"/>
      <c r="CL16" s="516"/>
      <c r="CM16" s="504"/>
      <c r="CN16" s="504"/>
      <c r="CO16" s="504"/>
      <c r="CP16" s="504"/>
      <c r="CQ16" s="504"/>
      <c r="CR16" s="504"/>
      <c r="CS16" s="504"/>
      <c r="CT16" s="504"/>
      <c r="CU16" s="504"/>
      <c r="CV16" s="516"/>
      <c r="CW16" s="504"/>
      <c r="CX16" s="504"/>
      <c r="CY16" s="504"/>
      <c r="CZ16" s="504"/>
      <c r="DA16" s="504"/>
      <c r="DB16" s="504"/>
      <c r="DC16" s="504"/>
      <c r="DD16" s="504"/>
      <c r="DE16" s="504"/>
      <c r="DF16" s="516"/>
      <c r="DG16" s="504"/>
      <c r="DH16" s="504"/>
      <c r="DI16" s="504"/>
      <c r="DJ16" s="504"/>
      <c r="DK16" s="504"/>
      <c r="DL16" s="504"/>
      <c r="DM16" s="504"/>
      <c r="DN16" s="504"/>
      <c r="DO16" s="504"/>
      <c r="DP16" s="516"/>
      <c r="DQ16" s="504"/>
      <c r="DR16" s="504"/>
      <c r="DS16" s="504"/>
      <c r="DT16" s="504"/>
      <c r="DU16" s="504"/>
      <c r="DV16" s="504"/>
      <c r="DW16" s="504"/>
      <c r="DX16" s="504"/>
      <c r="DY16" s="505"/>
      <c r="EB16" s="363">
        <f>4.6-30%</f>
        <v>4.3</v>
      </c>
    </row>
    <row r="17" spans="1:133" ht="19.95" customHeight="1" x14ac:dyDescent="0.4">
      <c r="A17" s="383">
        <v>4</v>
      </c>
      <c r="B17" s="388"/>
      <c r="C17" s="388"/>
      <c r="D17" s="388"/>
      <c r="E17" s="390" t="s">
        <v>419</v>
      </c>
      <c r="F17" s="390"/>
      <c r="G17" s="390"/>
      <c r="H17" s="390"/>
      <c r="I17" s="390"/>
      <c r="J17" s="390"/>
      <c r="K17" s="390"/>
      <c r="L17" s="390"/>
      <c r="M17" s="390"/>
      <c r="N17" s="390"/>
      <c r="O17" s="390"/>
      <c r="P17" s="390" t="s">
        <v>413</v>
      </c>
      <c r="Q17" s="390"/>
      <c r="R17" s="390"/>
      <c r="S17" s="390"/>
      <c r="T17" s="390"/>
      <c r="U17" s="390"/>
      <c r="V17" s="390"/>
      <c r="W17" s="390"/>
      <c r="X17" s="390"/>
      <c r="Y17" s="390"/>
      <c r="Z17" s="527">
        <v>5</v>
      </c>
      <c r="AA17" s="527"/>
      <c r="AB17" s="527"/>
      <c r="AC17" s="527"/>
      <c r="AD17" s="527"/>
      <c r="AE17" s="527"/>
      <c r="AF17" s="527"/>
      <c r="AG17" s="527"/>
      <c r="AH17" s="527"/>
      <c r="AI17" s="527"/>
      <c r="AJ17" s="527"/>
      <c r="AK17" s="527"/>
      <c r="AL17" s="511">
        <f t="shared" si="0"/>
        <v>5</v>
      </c>
      <c r="AM17" s="511"/>
      <c r="AN17" s="511"/>
      <c r="AO17" s="511"/>
      <c r="AP17" s="511"/>
      <c r="AQ17" s="511"/>
      <c r="AR17" s="511"/>
      <c r="AS17" s="511"/>
      <c r="AT17" s="511"/>
      <c r="AU17" s="511"/>
      <c r="AV17" s="511"/>
      <c r="AW17" s="511"/>
      <c r="AX17" s="511"/>
      <c r="AY17" s="512">
        <v>25</v>
      </c>
      <c r="AZ17" s="512"/>
      <c r="BA17" s="512"/>
      <c r="BB17" s="512"/>
      <c r="BC17" s="512"/>
      <c r="BD17" s="512"/>
      <c r="BE17" s="512"/>
      <c r="BF17" s="512"/>
      <c r="BG17" s="512"/>
      <c r="BH17" s="512"/>
      <c r="BI17" s="512"/>
      <c r="BJ17" s="512"/>
      <c r="BK17" s="512"/>
      <c r="BL17" s="513"/>
      <c r="BM17" s="326"/>
      <c r="BN17" s="326"/>
      <c r="BO17" s="326"/>
      <c r="BP17" s="499">
        <v>5</v>
      </c>
      <c r="BQ17" s="500"/>
      <c r="BR17" s="500"/>
      <c r="BS17" s="500"/>
      <c r="BT17" s="500"/>
      <c r="BU17" s="500"/>
      <c r="BV17" s="514"/>
      <c r="BW17" s="514"/>
      <c r="BX17" s="514"/>
      <c r="BY17" s="514"/>
      <c r="BZ17" s="514"/>
      <c r="CA17" s="514"/>
      <c r="CB17" s="514"/>
      <c r="CC17" s="514"/>
      <c r="CD17" s="515"/>
      <c r="CE17" s="504"/>
      <c r="CF17" s="504"/>
      <c r="CG17" s="504"/>
      <c r="CH17" s="504"/>
      <c r="CI17" s="504"/>
      <c r="CJ17" s="504"/>
      <c r="CK17" s="504"/>
      <c r="CL17" s="516"/>
      <c r="CM17" s="504"/>
      <c r="CN17" s="504"/>
      <c r="CO17" s="504"/>
      <c r="CP17" s="504"/>
      <c r="CQ17" s="504"/>
      <c r="CR17" s="504"/>
      <c r="CS17" s="504"/>
      <c r="CT17" s="504"/>
      <c r="CU17" s="504"/>
      <c r="CV17" s="516"/>
      <c r="CW17" s="504"/>
      <c r="CX17" s="504"/>
      <c r="CY17" s="504"/>
      <c r="CZ17" s="504"/>
      <c r="DA17" s="504"/>
      <c r="DB17" s="504"/>
      <c r="DC17" s="504"/>
      <c r="DD17" s="504"/>
      <c r="DE17" s="504"/>
      <c r="DF17" s="516"/>
      <c r="DG17" s="504"/>
      <c r="DH17" s="504"/>
      <c r="DI17" s="504"/>
      <c r="DJ17" s="504"/>
      <c r="DK17" s="504"/>
      <c r="DL17" s="504"/>
      <c r="DM17" s="504"/>
      <c r="DN17" s="504"/>
      <c r="DO17" s="504"/>
      <c r="DP17" s="516"/>
      <c r="DQ17" s="504"/>
      <c r="DR17" s="504"/>
      <c r="DS17" s="504"/>
      <c r="DT17" s="504"/>
      <c r="DU17" s="504"/>
      <c r="DV17" s="504"/>
      <c r="DW17" s="504"/>
      <c r="DX17" s="504"/>
      <c r="DY17" s="505"/>
    </row>
    <row r="18" spans="1:133" ht="19.95" customHeight="1" thickBot="1" x14ac:dyDescent="0.45">
      <c r="A18" s="383">
        <v>5</v>
      </c>
      <c r="B18" s="388"/>
      <c r="C18" s="388"/>
      <c r="D18" s="388"/>
      <c r="E18" s="390" t="s">
        <v>419</v>
      </c>
      <c r="F18" s="390"/>
      <c r="G18" s="390"/>
      <c r="H18" s="390"/>
      <c r="I18" s="390"/>
      <c r="J18" s="390"/>
      <c r="K18" s="390"/>
      <c r="L18" s="390"/>
      <c r="M18" s="390"/>
      <c r="N18" s="390"/>
      <c r="O18" s="390"/>
      <c r="P18" s="407" t="s">
        <v>420</v>
      </c>
      <c r="Q18" s="407"/>
      <c r="R18" s="407"/>
      <c r="S18" s="407"/>
      <c r="T18" s="407"/>
      <c r="U18" s="407"/>
      <c r="V18" s="407"/>
      <c r="W18" s="407"/>
      <c r="X18" s="407"/>
      <c r="Y18" s="407"/>
      <c r="Z18" s="533">
        <v>6.6</v>
      </c>
      <c r="AA18" s="533"/>
      <c r="AB18" s="533"/>
      <c r="AC18" s="533"/>
      <c r="AD18" s="533"/>
      <c r="AE18" s="533"/>
      <c r="AF18" s="533"/>
      <c r="AG18" s="533"/>
      <c r="AH18" s="533"/>
      <c r="AI18" s="533"/>
      <c r="AJ18" s="533"/>
      <c r="AK18" s="533"/>
      <c r="AL18" s="511">
        <f t="shared" si="0"/>
        <v>6.6</v>
      </c>
      <c r="AM18" s="511"/>
      <c r="AN18" s="511"/>
      <c r="AO18" s="511"/>
      <c r="AP18" s="511"/>
      <c r="AQ18" s="511"/>
      <c r="AR18" s="511"/>
      <c r="AS18" s="511"/>
      <c r="AT18" s="511"/>
      <c r="AU18" s="511"/>
      <c r="AV18" s="511"/>
      <c r="AW18" s="511"/>
      <c r="AX18" s="511"/>
      <c r="AY18" s="512">
        <v>25</v>
      </c>
      <c r="AZ18" s="512"/>
      <c r="BA18" s="512"/>
      <c r="BB18" s="512"/>
      <c r="BC18" s="512"/>
      <c r="BD18" s="512"/>
      <c r="BE18" s="512"/>
      <c r="BF18" s="512"/>
      <c r="BG18" s="512"/>
      <c r="BH18" s="512"/>
      <c r="BI18" s="512"/>
      <c r="BJ18" s="512"/>
      <c r="BK18" s="512"/>
      <c r="BL18" s="513"/>
      <c r="BM18" s="326"/>
      <c r="BN18" s="326"/>
      <c r="BO18" s="326"/>
      <c r="BP18" s="534">
        <v>6</v>
      </c>
      <c r="BQ18" s="535"/>
      <c r="BR18" s="535"/>
      <c r="BS18" s="535"/>
      <c r="BT18" s="535"/>
      <c r="BU18" s="535"/>
      <c r="BV18" s="536"/>
      <c r="BW18" s="536"/>
      <c r="BX18" s="536"/>
      <c r="BY18" s="536"/>
      <c r="BZ18" s="536"/>
      <c r="CA18" s="536"/>
      <c r="CB18" s="536"/>
      <c r="CC18" s="536"/>
      <c r="CD18" s="537"/>
      <c r="CE18" s="530"/>
      <c r="CF18" s="530"/>
      <c r="CG18" s="530"/>
      <c r="CH18" s="530"/>
      <c r="CI18" s="530"/>
      <c r="CJ18" s="530"/>
      <c r="CK18" s="530"/>
      <c r="CL18" s="531"/>
      <c r="CM18" s="530"/>
      <c r="CN18" s="530"/>
      <c r="CO18" s="530"/>
      <c r="CP18" s="530"/>
      <c r="CQ18" s="530"/>
      <c r="CR18" s="530"/>
      <c r="CS18" s="530"/>
      <c r="CT18" s="530"/>
      <c r="CU18" s="530"/>
      <c r="CV18" s="531"/>
      <c r="CW18" s="530"/>
      <c r="CX18" s="530"/>
      <c r="CY18" s="530"/>
      <c r="CZ18" s="530"/>
      <c r="DA18" s="530"/>
      <c r="DB18" s="530"/>
      <c r="DC18" s="530"/>
      <c r="DD18" s="530"/>
      <c r="DE18" s="530"/>
      <c r="DF18" s="531"/>
      <c r="DG18" s="530"/>
      <c r="DH18" s="530"/>
      <c r="DI18" s="530"/>
      <c r="DJ18" s="530"/>
      <c r="DK18" s="530"/>
      <c r="DL18" s="530"/>
      <c r="DM18" s="530"/>
      <c r="DN18" s="530"/>
      <c r="DO18" s="530"/>
      <c r="DP18" s="531"/>
      <c r="DQ18" s="530"/>
      <c r="DR18" s="530"/>
      <c r="DS18" s="530"/>
      <c r="DT18" s="530"/>
      <c r="DU18" s="530"/>
      <c r="DV18" s="530"/>
      <c r="DW18" s="530"/>
      <c r="DX18" s="530"/>
      <c r="DY18" s="532"/>
    </row>
    <row r="19" spans="1:133" ht="19.95" customHeight="1" x14ac:dyDescent="0.4">
      <c r="A19" s="383">
        <v>6</v>
      </c>
      <c r="B19" s="388"/>
      <c r="C19" s="388"/>
      <c r="D19" s="388"/>
      <c r="E19" s="390" t="s">
        <v>421</v>
      </c>
      <c r="F19" s="390"/>
      <c r="G19" s="390"/>
      <c r="H19" s="390"/>
      <c r="I19" s="390"/>
      <c r="J19" s="390"/>
      <c r="K19" s="390"/>
      <c r="L19" s="390"/>
      <c r="M19" s="390"/>
      <c r="N19" s="390"/>
      <c r="O19" s="390"/>
      <c r="P19" s="390" t="s">
        <v>424</v>
      </c>
      <c r="Q19" s="390"/>
      <c r="R19" s="390"/>
      <c r="S19" s="390"/>
      <c r="T19" s="390"/>
      <c r="U19" s="390"/>
      <c r="V19" s="390"/>
      <c r="W19" s="390"/>
      <c r="X19" s="390"/>
      <c r="Y19" s="390"/>
      <c r="Z19" s="527">
        <v>8.5</v>
      </c>
      <c r="AA19" s="527"/>
      <c r="AB19" s="527"/>
      <c r="AC19" s="527"/>
      <c r="AD19" s="527"/>
      <c r="AE19" s="527"/>
      <c r="AF19" s="527"/>
      <c r="AG19" s="527"/>
      <c r="AH19" s="527"/>
      <c r="AI19" s="527"/>
      <c r="AJ19" s="527"/>
      <c r="AK19" s="527"/>
      <c r="AL19" s="511">
        <f t="shared" si="0"/>
        <v>8.5</v>
      </c>
      <c r="AM19" s="511"/>
      <c r="AN19" s="511"/>
      <c r="AO19" s="511"/>
      <c r="AP19" s="511"/>
      <c r="AQ19" s="511"/>
      <c r="AR19" s="511"/>
      <c r="AS19" s="511"/>
      <c r="AT19" s="511"/>
      <c r="AU19" s="511"/>
      <c r="AV19" s="511"/>
      <c r="AW19" s="511"/>
      <c r="AX19" s="511"/>
      <c r="AY19" s="512">
        <v>42.5</v>
      </c>
      <c r="AZ19" s="512"/>
      <c r="BA19" s="512"/>
      <c r="BB19" s="512"/>
      <c r="BC19" s="512"/>
      <c r="BD19" s="512"/>
      <c r="BE19" s="512"/>
      <c r="BF19" s="512"/>
      <c r="BG19" s="512"/>
      <c r="BH19" s="512"/>
      <c r="BI19" s="512"/>
      <c r="BJ19" s="512"/>
      <c r="BK19" s="512"/>
      <c r="BL19" s="513"/>
      <c r="BM19" s="326"/>
      <c r="BN19" s="326"/>
      <c r="BO19" s="326"/>
      <c r="BP19" s="326"/>
    </row>
    <row r="20" spans="1:133" ht="25.05" customHeight="1" x14ac:dyDescent="0.4">
      <c r="A20" s="383">
        <v>7</v>
      </c>
      <c r="B20" s="388"/>
      <c r="C20" s="388"/>
      <c r="D20" s="388"/>
      <c r="E20" s="390" t="s">
        <v>422</v>
      </c>
      <c r="F20" s="390"/>
      <c r="G20" s="390"/>
      <c r="H20" s="390"/>
      <c r="I20" s="390"/>
      <c r="J20" s="390"/>
      <c r="K20" s="390"/>
      <c r="L20" s="390"/>
      <c r="M20" s="390"/>
      <c r="N20" s="390"/>
      <c r="O20" s="390"/>
      <c r="P20" s="390" t="s">
        <v>425</v>
      </c>
      <c r="Q20" s="390"/>
      <c r="R20" s="390"/>
      <c r="S20" s="390"/>
      <c r="T20" s="390"/>
      <c r="U20" s="390"/>
      <c r="V20" s="390"/>
      <c r="W20" s="390"/>
      <c r="X20" s="390"/>
      <c r="Y20" s="390"/>
      <c r="Z20" s="527">
        <v>6</v>
      </c>
      <c r="AA20" s="527"/>
      <c r="AB20" s="527"/>
      <c r="AC20" s="527"/>
      <c r="AD20" s="527"/>
      <c r="AE20" s="527"/>
      <c r="AF20" s="527"/>
      <c r="AG20" s="527"/>
      <c r="AH20" s="527"/>
      <c r="AI20" s="527"/>
      <c r="AJ20" s="527"/>
      <c r="AK20" s="527"/>
      <c r="AL20" s="511">
        <f t="shared" si="0"/>
        <v>6</v>
      </c>
      <c r="AM20" s="511"/>
      <c r="AN20" s="511"/>
      <c r="AO20" s="511"/>
      <c r="AP20" s="511"/>
      <c r="AQ20" s="511"/>
      <c r="AR20" s="511"/>
      <c r="AS20" s="511"/>
      <c r="AT20" s="511"/>
      <c r="AU20" s="511"/>
      <c r="AV20" s="511"/>
      <c r="AW20" s="511"/>
      <c r="AX20" s="511"/>
      <c r="AY20" s="512">
        <v>30</v>
      </c>
      <c r="AZ20" s="512"/>
      <c r="BA20" s="512"/>
      <c r="BB20" s="512"/>
      <c r="BC20" s="512"/>
      <c r="BD20" s="512"/>
      <c r="BE20" s="512"/>
      <c r="BF20" s="512"/>
      <c r="BG20" s="512"/>
      <c r="BH20" s="512"/>
      <c r="BI20" s="512"/>
      <c r="BJ20" s="512"/>
      <c r="BK20" s="512"/>
      <c r="BL20" s="513"/>
      <c r="BM20" s="326"/>
      <c r="BN20" s="326"/>
      <c r="BO20" s="326"/>
      <c r="BP20" s="538" t="s">
        <v>502</v>
      </c>
      <c r="BQ20" s="538"/>
      <c r="BR20" s="538"/>
      <c r="BS20" s="538"/>
      <c r="BT20" s="538"/>
      <c r="BU20" s="538"/>
      <c r="BV20" s="538"/>
      <c r="BW20" s="538"/>
      <c r="BX20" s="538"/>
      <c r="BY20" s="538"/>
      <c r="BZ20" s="538"/>
      <c r="CA20" s="538"/>
      <c r="CB20" s="538"/>
      <c r="CC20" s="538"/>
      <c r="CD20" s="538"/>
      <c r="CE20" s="538"/>
      <c r="CF20" s="538"/>
      <c r="CG20" s="538"/>
      <c r="CH20" s="538"/>
      <c r="CI20" s="538"/>
      <c r="CJ20" s="538"/>
      <c r="CK20" s="538"/>
      <c r="CL20" s="538"/>
      <c r="CM20" s="538"/>
      <c r="CN20" s="538"/>
      <c r="CO20" s="538"/>
      <c r="CP20" s="538"/>
      <c r="CQ20" s="538"/>
      <c r="CR20" s="538"/>
      <c r="CS20" s="538"/>
      <c r="CT20" s="538"/>
      <c r="CU20" s="538"/>
      <c r="CV20" s="538"/>
      <c r="CW20" s="538"/>
      <c r="CX20" s="538"/>
      <c r="CY20" s="538"/>
      <c r="CZ20" s="538"/>
      <c r="DA20" s="538"/>
      <c r="DB20" s="538"/>
      <c r="DC20" s="538"/>
      <c r="DD20" s="538"/>
      <c r="DE20" s="538"/>
      <c r="DF20" s="538"/>
      <c r="DG20" s="538"/>
      <c r="DH20" s="538"/>
      <c r="DI20" s="538"/>
      <c r="DJ20" s="538"/>
      <c r="DK20" s="538"/>
      <c r="DL20" s="538"/>
      <c r="DM20" s="538"/>
      <c r="DN20" s="538"/>
      <c r="DO20" s="538"/>
      <c r="DP20" s="538"/>
      <c r="DQ20" s="538"/>
      <c r="DR20" s="538"/>
      <c r="DS20" s="538"/>
      <c r="DT20" s="538"/>
      <c r="DU20" s="538"/>
      <c r="DV20" s="538"/>
      <c r="DW20" s="538"/>
      <c r="DX20" s="538"/>
      <c r="DY20" s="538"/>
      <c r="EB20" s="322">
        <f>2.8*5</f>
        <v>14</v>
      </c>
      <c r="EC20" s="322">
        <f>5*1.5</f>
        <v>7.5</v>
      </c>
    </row>
    <row r="21" spans="1:133" ht="19.95" customHeight="1" thickBot="1" x14ac:dyDescent="0.45">
      <c r="A21" s="383">
        <v>8</v>
      </c>
      <c r="B21" s="388"/>
      <c r="C21" s="388"/>
      <c r="D21" s="388"/>
      <c r="E21" s="390" t="s">
        <v>430</v>
      </c>
      <c r="F21" s="390"/>
      <c r="G21" s="390"/>
      <c r="H21" s="390"/>
      <c r="I21" s="390"/>
      <c r="J21" s="390"/>
      <c r="K21" s="390"/>
      <c r="L21" s="390"/>
      <c r="M21" s="390"/>
      <c r="N21" s="390"/>
      <c r="O21" s="390"/>
      <c r="P21" s="390" t="s">
        <v>429</v>
      </c>
      <c r="Q21" s="390"/>
      <c r="R21" s="390"/>
      <c r="S21" s="390"/>
      <c r="T21" s="390"/>
      <c r="U21" s="390"/>
      <c r="V21" s="390"/>
      <c r="W21" s="390"/>
      <c r="X21" s="390"/>
      <c r="Y21" s="390"/>
      <c r="Z21" s="527">
        <v>7.5</v>
      </c>
      <c r="AA21" s="527"/>
      <c r="AB21" s="527"/>
      <c r="AC21" s="527"/>
      <c r="AD21" s="527"/>
      <c r="AE21" s="527"/>
      <c r="AF21" s="527"/>
      <c r="AG21" s="527"/>
      <c r="AH21" s="527"/>
      <c r="AI21" s="527"/>
      <c r="AJ21" s="527"/>
      <c r="AK21" s="527"/>
      <c r="AL21" s="511">
        <f t="shared" si="0"/>
        <v>7.5</v>
      </c>
      <c r="AM21" s="511"/>
      <c r="AN21" s="511"/>
      <c r="AO21" s="511"/>
      <c r="AP21" s="511"/>
      <c r="AQ21" s="511"/>
      <c r="AR21" s="511"/>
      <c r="AS21" s="511"/>
      <c r="AT21" s="511"/>
      <c r="AU21" s="511"/>
      <c r="AV21" s="511"/>
      <c r="AW21" s="511"/>
      <c r="AX21" s="511"/>
      <c r="AY21" s="512">
        <v>25</v>
      </c>
      <c r="AZ21" s="512"/>
      <c r="BA21" s="512"/>
      <c r="BB21" s="512"/>
      <c r="BC21" s="512"/>
      <c r="BD21" s="512"/>
      <c r="BE21" s="512"/>
      <c r="BF21" s="512"/>
      <c r="BG21" s="512"/>
      <c r="BH21" s="512"/>
      <c r="BI21" s="512"/>
      <c r="BJ21" s="512"/>
      <c r="BK21" s="512"/>
      <c r="BL21" s="513"/>
      <c r="BM21" s="326"/>
      <c r="BN21" s="326"/>
      <c r="BO21" s="326"/>
      <c r="BP21" s="326"/>
      <c r="DY21" s="330"/>
    </row>
    <row r="22" spans="1:133" ht="19.95" customHeight="1" x14ac:dyDescent="0.4">
      <c r="A22" s="383">
        <v>9</v>
      </c>
      <c r="B22" s="388"/>
      <c r="C22" s="388"/>
      <c r="D22" s="388"/>
      <c r="E22" s="391" t="s">
        <v>417</v>
      </c>
      <c r="F22" s="391"/>
      <c r="G22" s="391"/>
      <c r="H22" s="391"/>
      <c r="I22" s="391"/>
      <c r="J22" s="391"/>
      <c r="K22" s="391"/>
      <c r="L22" s="391"/>
      <c r="M22" s="391"/>
      <c r="N22" s="391"/>
      <c r="O22" s="391"/>
      <c r="P22" s="391" t="s">
        <v>405</v>
      </c>
      <c r="Q22" s="391"/>
      <c r="R22" s="391"/>
      <c r="S22" s="391"/>
      <c r="T22" s="391"/>
      <c r="U22" s="391"/>
      <c r="V22" s="391"/>
      <c r="W22" s="391"/>
      <c r="X22" s="391"/>
      <c r="Y22" s="391"/>
      <c r="Z22" s="541">
        <v>25</v>
      </c>
      <c r="AA22" s="541"/>
      <c r="AB22" s="541"/>
      <c r="AC22" s="541"/>
      <c r="AD22" s="541"/>
      <c r="AE22" s="541"/>
      <c r="AF22" s="541"/>
      <c r="AG22" s="541"/>
      <c r="AH22" s="541"/>
      <c r="AI22" s="541"/>
      <c r="AJ22" s="541"/>
      <c r="AK22" s="541"/>
      <c r="AL22" s="511">
        <f t="shared" si="0"/>
        <v>25</v>
      </c>
      <c r="AM22" s="511"/>
      <c r="AN22" s="511"/>
      <c r="AO22" s="511"/>
      <c r="AP22" s="511"/>
      <c r="AQ22" s="511"/>
      <c r="AR22" s="511"/>
      <c r="AS22" s="511"/>
      <c r="AT22" s="511"/>
      <c r="AU22" s="511"/>
      <c r="AV22" s="511"/>
      <c r="AW22" s="511"/>
      <c r="AX22" s="511"/>
      <c r="AY22" s="512">
        <v>125</v>
      </c>
      <c r="AZ22" s="512"/>
      <c r="BA22" s="512"/>
      <c r="BB22" s="512"/>
      <c r="BC22" s="512"/>
      <c r="BD22" s="512"/>
      <c r="BE22" s="512"/>
      <c r="BF22" s="512"/>
      <c r="BG22" s="512"/>
      <c r="BH22" s="512"/>
      <c r="BI22" s="512"/>
      <c r="BJ22" s="512"/>
      <c r="BK22" s="512"/>
      <c r="BL22" s="513"/>
      <c r="BM22" s="326"/>
      <c r="BN22" s="326"/>
      <c r="BO22" s="326"/>
      <c r="BP22" s="547" t="s">
        <v>415</v>
      </c>
      <c r="BQ22" s="548"/>
      <c r="BR22" s="548"/>
      <c r="BS22" s="548"/>
      <c r="BT22" s="548"/>
      <c r="BU22" s="548"/>
      <c r="BV22" s="548"/>
      <c r="BW22" s="548"/>
      <c r="BX22" s="548"/>
      <c r="BY22" s="548"/>
      <c r="BZ22" s="548"/>
      <c r="CA22" s="548"/>
      <c r="CB22" s="548"/>
      <c r="CC22" s="548"/>
      <c r="CD22" s="548"/>
      <c r="CE22" s="549"/>
      <c r="CF22" s="498" t="s">
        <v>499</v>
      </c>
      <c r="CG22" s="498"/>
      <c r="CH22" s="498"/>
      <c r="CI22" s="498"/>
      <c r="CJ22" s="498"/>
      <c r="CK22" s="498"/>
      <c r="CL22" s="498"/>
      <c r="CM22" s="498"/>
      <c r="CN22" s="498"/>
      <c r="CO22" s="498"/>
      <c r="CP22" s="498"/>
      <c r="CQ22" s="498"/>
      <c r="CR22" s="498"/>
      <c r="CS22" s="498"/>
      <c r="CT22" s="498" t="s">
        <v>497</v>
      </c>
      <c r="CU22" s="498"/>
      <c r="CV22" s="498"/>
      <c r="CW22" s="498"/>
      <c r="CX22" s="498"/>
      <c r="CY22" s="498"/>
      <c r="CZ22" s="498"/>
      <c r="DA22" s="498"/>
      <c r="DB22" s="498"/>
      <c r="DC22" s="498"/>
      <c r="DD22" s="498"/>
      <c r="DE22" s="498"/>
      <c r="DF22" s="498"/>
      <c r="DG22" s="498"/>
      <c r="DH22" s="498" t="s">
        <v>498</v>
      </c>
      <c r="DI22" s="498"/>
      <c r="DJ22" s="498"/>
      <c r="DK22" s="498"/>
      <c r="DL22" s="498"/>
      <c r="DM22" s="498"/>
      <c r="DN22" s="498"/>
      <c r="DO22" s="498"/>
      <c r="DP22" s="498"/>
      <c r="DQ22" s="498"/>
      <c r="DR22" s="498"/>
      <c r="DS22" s="498"/>
      <c r="DT22" s="498"/>
      <c r="DU22" s="498"/>
      <c r="DV22" s="498"/>
      <c r="DW22" s="498"/>
      <c r="DX22" s="498"/>
      <c r="DY22" s="539"/>
      <c r="EB22" s="322">
        <f>46*0.33</f>
        <v>15.180000000000001</v>
      </c>
    </row>
    <row r="23" spans="1:133" ht="19.95" customHeight="1" x14ac:dyDescent="0.4">
      <c r="A23" s="383">
        <v>10</v>
      </c>
      <c r="B23" s="388"/>
      <c r="C23" s="388"/>
      <c r="D23" s="388"/>
      <c r="E23" s="391" t="s">
        <v>423</v>
      </c>
      <c r="F23" s="391"/>
      <c r="G23" s="391"/>
      <c r="H23" s="391"/>
      <c r="I23" s="391"/>
      <c r="J23" s="391"/>
      <c r="K23" s="391"/>
      <c r="L23" s="391"/>
      <c r="M23" s="391"/>
      <c r="N23" s="391"/>
      <c r="O23" s="391"/>
      <c r="P23" s="391" t="s">
        <v>406</v>
      </c>
      <c r="Q23" s="391"/>
      <c r="R23" s="391"/>
      <c r="S23" s="391"/>
      <c r="T23" s="391"/>
      <c r="U23" s="391"/>
      <c r="V23" s="391"/>
      <c r="W23" s="391"/>
      <c r="X23" s="391"/>
      <c r="Y23" s="391"/>
      <c r="Z23" s="541">
        <v>20</v>
      </c>
      <c r="AA23" s="541"/>
      <c r="AB23" s="541"/>
      <c r="AC23" s="541"/>
      <c r="AD23" s="541"/>
      <c r="AE23" s="541"/>
      <c r="AF23" s="541"/>
      <c r="AG23" s="541"/>
      <c r="AH23" s="541"/>
      <c r="AI23" s="541"/>
      <c r="AJ23" s="541"/>
      <c r="AK23" s="541"/>
      <c r="AL23" s="511">
        <f t="shared" si="0"/>
        <v>20</v>
      </c>
      <c r="AM23" s="511"/>
      <c r="AN23" s="511"/>
      <c r="AO23" s="511"/>
      <c r="AP23" s="511"/>
      <c r="AQ23" s="511"/>
      <c r="AR23" s="511"/>
      <c r="AS23" s="511"/>
      <c r="AT23" s="511"/>
      <c r="AU23" s="511"/>
      <c r="AV23" s="511"/>
      <c r="AW23" s="511"/>
      <c r="AX23" s="511"/>
      <c r="AY23" s="512">
        <v>125</v>
      </c>
      <c r="AZ23" s="512"/>
      <c r="BA23" s="512"/>
      <c r="BB23" s="512"/>
      <c r="BC23" s="512"/>
      <c r="BD23" s="512"/>
      <c r="BE23" s="512"/>
      <c r="BF23" s="512"/>
      <c r="BG23" s="512"/>
      <c r="BH23" s="512"/>
      <c r="BI23" s="512"/>
      <c r="BJ23" s="512"/>
      <c r="BK23" s="512"/>
      <c r="BL23" s="513"/>
      <c r="BM23" s="326"/>
      <c r="BN23" s="326"/>
      <c r="BO23" s="326"/>
      <c r="BP23" s="542">
        <v>33</v>
      </c>
      <c r="BQ23" s="543"/>
      <c r="BR23" s="543"/>
      <c r="BS23" s="543"/>
      <c r="BT23" s="543"/>
      <c r="BU23" s="543"/>
      <c r="BV23" s="543"/>
      <c r="BW23" s="543"/>
      <c r="BX23" s="543"/>
      <c r="BY23" s="543"/>
      <c r="BZ23" s="543"/>
      <c r="CA23" s="543"/>
      <c r="CB23" s="543"/>
      <c r="CC23" s="543"/>
      <c r="CD23" s="543"/>
      <c r="CE23" s="544"/>
      <c r="CF23" s="500"/>
      <c r="CG23" s="500"/>
      <c r="CH23" s="500"/>
      <c r="CI23" s="500"/>
      <c r="CJ23" s="500"/>
      <c r="CK23" s="500"/>
      <c r="CL23" s="500"/>
      <c r="CM23" s="500"/>
      <c r="CN23" s="500"/>
      <c r="CO23" s="500"/>
      <c r="CP23" s="500"/>
      <c r="CQ23" s="500"/>
      <c r="CR23" s="500"/>
      <c r="CS23" s="500"/>
      <c r="CT23" s="500"/>
      <c r="CU23" s="500"/>
      <c r="CV23" s="500"/>
      <c r="CW23" s="500"/>
      <c r="CX23" s="500"/>
      <c r="CY23" s="500"/>
      <c r="CZ23" s="500"/>
      <c r="DA23" s="500"/>
      <c r="DB23" s="500"/>
      <c r="DC23" s="500"/>
      <c r="DD23" s="500"/>
      <c r="DE23" s="500"/>
      <c r="DF23" s="500"/>
      <c r="DG23" s="500"/>
      <c r="DH23" s="500"/>
      <c r="DI23" s="500"/>
      <c r="DJ23" s="500"/>
      <c r="DK23" s="500"/>
      <c r="DL23" s="500"/>
      <c r="DM23" s="500"/>
      <c r="DN23" s="500"/>
      <c r="DO23" s="500"/>
      <c r="DP23" s="500"/>
      <c r="DQ23" s="500"/>
      <c r="DR23" s="500"/>
      <c r="DS23" s="500"/>
      <c r="DT23" s="500"/>
      <c r="DU23" s="500"/>
      <c r="DV23" s="500"/>
      <c r="DW23" s="500"/>
      <c r="DX23" s="500"/>
      <c r="DY23" s="540"/>
      <c r="EB23" s="322">
        <f>46-EB22</f>
        <v>30.82</v>
      </c>
    </row>
    <row r="24" spans="1:133" ht="19.95" customHeight="1" x14ac:dyDescent="0.4">
      <c r="A24" s="383">
        <v>11</v>
      </c>
      <c r="B24" s="388"/>
      <c r="C24" s="388"/>
      <c r="D24" s="388"/>
      <c r="E24" s="391" t="s">
        <v>426</v>
      </c>
      <c r="F24" s="391"/>
      <c r="G24" s="391"/>
      <c r="H24" s="391"/>
      <c r="I24" s="391"/>
      <c r="J24" s="391"/>
      <c r="K24" s="391"/>
      <c r="L24" s="391"/>
      <c r="M24" s="391"/>
      <c r="N24" s="391"/>
      <c r="O24" s="391"/>
      <c r="P24" s="391" t="s">
        <v>489</v>
      </c>
      <c r="Q24" s="391"/>
      <c r="R24" s="391"/>
      <c r="S24" s="391"/>
      <c r="T24" s="391"/>
      <c r="U24" s="391"/>
      <c r="V24" s="391"/>
      <c r="W24" s="391"/>
      <c r="X24" s="391"/>
      <c r="Y24" s="391"/>
      <c r="Z24" s="541">
        <v>825</v>
      </c>
      <c r="AA24" s="541"/>
      <c r="AB24" s="541"/>
      <c r="AC24" s="541"/>
      <c r="AD24" s="541"/>
      <c r="AE24" s="541"/>
      <c r="AF24" s="541"/>
      <c r="AG24" s="541"/>
      <c r="AH24" s="541"/>
      <c r="AI24" s="541"/>
      <c r="AJ24" s="541"/>
      <c r="AK24" s="541"/>
      <c r="AL24" s="511">
        <f t="shared" si="0"/>
        <v>825</v>
      </c>
      <c r="AM24" s="511"/>
      <c r="AN24" s="511"/>
      <c r="AO24" s="511"/>
      <c r="AP24" s="511"/>
      <c r="AQ24" s="511"/>
      <c r="AR24" s="511"/>
      <c r="AS24" s="511"/>
      <c r="AT24" s="511"/>
      <c r="AU24" s="511"/>
      <c r="AV24" s="511"/>
      <c r="AW24" s="511"/>
      <c r="AX24" s="511"/>
      <c r="AY24" s="512">
        <v>4238</v>
      </c>
      <c r="AZ24" s="512"/>
      <c r="BA24" s="512"/>
      <c r="BB24" s="512"/>
      <c r="BC24" s="512"/>
      <c r="BD24" s="512"/>
      <c r="BE24" s="512"/>
      <c r="BF24" s="512"/>
      <c r="BG24" s="512"/>
      <c r="BH24" s="512"/>
      <c r="BI24" s="512"/>
      <c r="BJ24" s="512"/>
      <c r="BK24" s="512"/>
      <c r="BL24" s="513"/>
      <c r="BM24" s="326"/>
      <c r="BN24" s="326"/>
      <c r="BO24" s="326"/>
      <c r="BP24" s="545" t="s">
        <v>500</v>
      </c>
      <c r="BQ24" s="546"/>
      <c r="BR24" s="546"/>
      <c r="BS24" s="546"/>
      <c r="BT24" s="546"/>
      <c r="BU24" s="546"/>
      <c r="BV24" s="546"/>
      <c r="BW24" s="546"/>
      <c r="BX24" s="546"/>
      <c r="BY24" s="546"/>
      <c r="BZ24" s="546"/>
      <c r="CA24" s="546"/>
      <c r="CB24" s="546"/>
      <c r="CC24" s="546"/>
      <c r="CD24" s="546"/>
      <c r="CE24" s="546"/>
      <c r="CF24" s="550">
        <f>SUM(Z13:AK24)/SUM(Z13:AK27)</f>
        <v>0.97667398463227217</v>
      </c>
      <c r="CG24" s="550"/>
      <c r="CH24" s="550"/>
      <c r="CI24" s="550"/>
      <c r="CJ24" s="550"/>
      <c r="CK24" s="550"/>
      <c r="CL24" s="550"/>
      <c r="CM24" s="550"/>
      <c r="CN24" s="550"/>
      <c r="CO24" s="550"/>
      <c r="CP24" s="550"/>
      <c r="CQ24" s="550"/>
      <c r="CR24" s="550"/>
      <c r="CS24" s="550"/>
      <c r="CT24" s="551">
        <f>BP23*CF24</f>
        <v>32.230241492864984</v>
      </c>
      <c r="CU24" s="551"/>
      <c r="CV24" s="551"/>
      <c r="CW24" s="551"/>
      <c r="CX24" s="551"/>
      <c r="CY24" s="551"/>
      <c r="CZ24" s="551"/>
      <c r="DA24" s="551"/>
      <c r="DB24" s="551"/>
      <c r="DC24" s="551"/>
      <c r="DD24" s="551"/>
      <c r="DE24" s="551"/>
      <c r="DF24" s="551"/>
      <c r="DG24" s="551"/>
      <c r="DH24" s="552"/>
      <c r="DI24" s="552"/>
      <c r="DJ24" s="552"/>
      <c r="DK24" s="552"/>
      <c r="DL24" s="552"/>
      <c r="DM24" s="552"/>
      <c r="DN24" s="552"/>
      <c r="DO24" s="552"/>
      <c r="DP24" s="552"/>
      <c r="DQ24" s="552"/>
      <c r="DR24" s="552"/>
      <c r="DS24" s="552"/>
      <c r="DT24" s="552"/>
      <c r="DU24" s="552"/>
      <c r="DV24" s="552"/>
      <c r="DW24" s="552"/>
      <c r="DX24" s="552"/>
      <c r="DY24" s="553"/>
      <c r="EA24" s="322">
        <f>BP23*CF24</f>
        <v>32.230241492864984</v>
      </c>
      <c r="EC24" s="322">
        <f>5*2.5</f>
        <v>12.5</v>
      </c>
    </row>
    <row r="25" spans="1:133" ht="19.95" customHeight="1" x14ac:dyDescent="0.4">
      <c r="A25" s="383"/>
      <c r="B25" s="388"/>
      <c r="C25" s="388"/>
      <c r="D25" s="388"/>
      <c r="E25" s="391"/>
      <c r="F25" s="391"/>
      <c r="G25" s="391"/>
      <c r="H25" s="391"/>
      <c r="I25" s="391"/>
      <c r="J25" s="391"/>
      <c r="K25" s="391"/>
      <c r="L25" s="391"/>
      <c r="M25" s="391"/>
      <c r="N25" s="391"/>
      <c r="O25" s="391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41"/>
      <c r="AA25" s="541"/>
      <c r="AB25" s="541"/>
      <c r="AC25" s="541"/>
      <c r="AD25" s="541"/>
      <c r="AE25" s="541"/>
      <c r="AF25" s="541"/>
      <c r="AG25" s="541"/>
      <c r="AH25" s="541"/>
      <c r="AI25" s="541"/>
      <c r="AJ25" s="541"/>
      <c r="AK25" s="541"/>
      <c r="AL25" s="511">
        <f t="shared" si="0"/>
        <v>0</v>
      </c>
      <c r="AM25" s="511"/>
      <c r="AN25" s="511"/>
      <c r="AO25" s="511"/>
      <c r="AP25" s="511"/>
      <c r="AQ25" s="511"/>
      <c r="AR25" s="511"/>
      <c r="AS25" s="511"/>
      <c r="AT25" s="511"/>
      <c r="AU25" s="511"/>
      <c r="AV25" s="511"/>
      <c r="AW25" s="511"/>
      <c r="AX25" s="511"/>
      <c r="AY25" s="512"/>
      <c r="AZ25" s="512"/>
      <c r="BA25" s="512"/>
      <c r="BB25" s="512"/>
      <c r="BC25" s="512"/>
      <c r="BD25" s="512"/>
      <c r="BE25" s="512"/>
      <c r="BF25" s="512"/>
      <c r="BG25" s="512"/>
      <c r="BH25" s="512"/>
      <c r="BI25" s="512"/>
      <c r="BJ25" s="512"/>
      <c r="BK25" s="512"/>
      <c r="BL25" s="513"/>
      <c r="BM25" s="326"/>
      <c r="BN25" s="326"/>
      <c r="BO25" s="326"/>
      <c r="BP25" s="545"/>
      <c r="BQ25" s="546"/>
      <c r="BR25" s="546"/>
      <c r="BS25" s="546"/>
      <c r="BT25" s="546"/>
      <c r="BU25" s="546"/>
      <c r="BV25" s="546"/>
      <c r="BW25" s="546"/>
      <c r="BX25" s="546"/>
      <c r="BY25" s="546"/>
      <c r="BZ25" s="546"/>
      <c r="CA25" s="546"/>
      <c r="CB25" s="546"/>
      <c r="CC25" s="546"/>
      <c r="CD25" s="546"/>
      <c r="CE25" s="546"/>
      <c r="CF25" s="550"/>
      <c r="CG25" s="550"/>
      <c r="CH25" s="550"/>
      <c r="CI25" s="550"/>
      <c r="CJ25" s="550"/>
      <c r="CK25" s="550"/>
      <c r="CL25" s="550"/>
      <c r="CM25" s="550"/>
      <c r="CN25" s="550"/>
      <c r="CO25" s="550"/>
      <c r="CP25" s="550"/>
      <c r="CQ25" s="550"/>
      <c r="CR25" s="550"/>
      <c r="CS25" s="550"/>
      <c r="CT25" s="551"/>
      <c r="CU25" s="551"/>
      <c r="CV25" s="551"/>
      <c r="CW25" s="551"/>
      <c r="CX25" s="551"/>
      <c r="CY25" s="551"/>
      <c r="CZ25" s="551"/>
      <c r="DA25" s="551"/>
      <c r="DB25" s="551"/>
      <c r="DC25" s="551"/>
      <c r="DD25" s="551"/>
      <c r="DE25" s="551"/>
      <c r="DF25" s="551"/>
      <c r="DG25" s="551"/>
      <c r="DH25" s="552"/>
      <c r="DI25" s="552"/>
      <c r="DJ25" s="552"/>
      <c r="DK25" s="552"/>
      <c r="DL25" s="552"/>
      <c r="DM25" s="552"/>
      <c r="DN25" s="552"/>
      <c r="DO25" s="552"/>
      <c r="DP25" s="552"/>
      <c r="DQ25" s="552"/>
      <c r="DR25" s="552"/>
      <c r="DS25" s="552"/>
      <c r="DT25" s="552"/>
      <c r="DU25" s="552"/>
      <c r="DV25" s="552"/>
      <c r="DW25" s="552"/>
      <c r="DX25" s="552"/>
      <c r="DY25" s="553"/>
      <c r="EA25" s="360">
        <f>BP23*CF26</f>
        <v>0.31695938529088913</v>
      </c>
    </row>
    <row r="26" spans="1:133" ht="19.95" customHeight="1" x14ac:dyDescent="0.4">
      <c r="A26" s="383">
        <v>12</v>
      </c>
      <c r="B26" s="388"/>
      <c r="C26" s="388"/>
      <c r="D26" s="388"/>
      <c r="E26" s="391" t="s">
        <v>427</v>
      </c>
      <c r="F26" s="391"/>
      <c r="G26" s="391"/>
      <c r="H26" s="391"/>
      <c r="I26" s="391"/>
      <c r="J26" s="391"/>
      <c r="K26" s="391"/>
      <c r="L26" s="391"/>
      <c r="M26" s="391"/>
      <c r="N26" s="391"/>
      <c r="O26" s="391"/>
      <c r="P26" s="391" t="s">
        <v>408</v>
      </c>
      <c r="Q26" s="391"/>
      <c r="R26" s="391"/>
      <c r="S26" s="391"/>
      <c r="T26" s="391"/>
      <c r="U26" s="391"/>
      <c r="V26" s="391"/>
      <c r="W26" s="391"/>
      <c r="X26" s="391"/>
      <c r="Y26" s="391"/>
      <c r="Z26" s="541">
        <v>14</v>
      </c>
      <c r="AA26" s="541"/>
      <c r="AB26" s="541"/>
      <c r="AC26" s="541"/>
      <c r="AD26" s="541"/>
      <c r="AE26" s="541"/>
      <c r="AF26" s="541"/>
      <c r="AG26" s="541"/>
      <c r="AH26" s="541"/>
      <c r="AI26" s="541"/>
      <c r="AJ26" s="541"/>
      <c r="AK26" s="541"/>
      <c r="AL26" s="511">
        <f t="shared" si="0"/>
        <v>14</v>
      </c>
      <c r="AM26" s="511"/>
      <c r="AN26" s="511"/>
      <c r="AO26" s="511"/>
      <c r="AP26" s="511"/>
      <c r="AQ26" s="511"/>
      <c r="AR26" s="511"/>
      <c r="AS26" s="511"/>
      <c r="AT26" s="511"/>
      <c r="AU26" s="511"/>
      <c r="AV26" s="511"/>
      <c r="AW26" s="511"/>
      <c r="AX26" s="511"/>
      <c r="AY26" s="512">
        <v>52</v>
      </c>
      <c r="AZ26" s="512"/>
      <c r="BA26" s="512"/>
      <c r="BB26" s="512"/>
      <c r="BC26" s="512"/>
      <c r="BD26" s="512"/>
      <c r="BE26" s="512"/>
      <c r="BF26" s="512"/>
      <c r="BG26" s="512"/>
      <c r="BH26" s="512"/>
      <c r="BI26" s="512"/>
      <c r="BJ26" s="512"/>
      <c r="BK26" s="512"/>
      <c r="BL26" s="513"/>
      <c r="BM26" s="326"/>
      <c r="BN26" s="326"/>
      <c r="BO26" s="326"/>
      <c r="BP26" s="545" t="s">
        <v>491</v>
      </c>
      <c r="BQ26" s="546"/>
      <c r="BR26" s="546"/>
      <c r="BS26" s="546"/>
      <c r="BT26" s="546"/>
      <c r="BU26" s="546"/>
      <c r="BV26" s="546"/>
      <c r="BW26" s="546"/>
      <c r="BX26" s="546"/>
      <c r="BY26" s="546"/>
      <c r="BZ26" s="546"/>
      <c r="CA26" s="546"/>
      <c r="CB26" s="546"/>
      <c r="CC26" s="546"/>
      <c r="CD26" s="546"/>
      <c r="CE26" s="546"/>
      <c r="CF26" s="550">
        <f>Z26/SUM(Z13:AK27)</f>
        <v>9.604829857299671E-3</v>
      </c>
      <c r="CG26" s="550"/>
      <c r="CH26" s="550"/>
      <c r="CI26" s="550"/>
      <c r="CJ26" s="550"/>
      <c r="CK26" s="550"/>
      <c r="CL26" s="550"/>
      <c r="CM26" s="550"/>
      <c r="CN26" s="550"/>
      <c r="CO26" s="550"/>
      <c r="CP26" s="550"/>
      <c r="CQ26" s="550"/>
      <c r="CR26" s="550"/>
      <c r="CS26" s="550"/>
      <c r="CT26" s="555">
        <f>BP23*CF26*1000</f>
        <v>316.95938529088914</v>
      </c>
      <c r="CU26" s="555"/>
      <c r="CV26" s="555"/>
      <c r="CW26" s="555"/>
      <c r="CX26" s="555"/>
      <c r="CY26" s="555"/>
      <c r="CZ26" s="555"/>
      <c r="DA26" s="555"/>
      <c r="DB26" s="555"/>
      <c r="DC26" s="555"/>
      <c r="DD26" s="555"/>
      <c r="DE26" s="555"/>
      <c r="DF26" s="555"/>
      <c r="DG26" s="555"/>
      <c r="DH26" s="552"/>
      <c r="DI26" s="552"/>
      <c r="DJ26" s="552"/>
      <c r="DK26" s="552"/>
      <c r="DL26" s="552"/>
      <c r="DM26" s="552"/>
      <c r="DN26" s="552"/>
      <c r="DO26" s="552"/>
      <c r="DP26" s="552"/>
      <c r="DQ26" s="552"/>
      <c r="DR26" s="552"/>
      <c r="DS26" s="552"/>
      <c r="DT26" s="552"/>
      <c r="DU26" s="552"/>
      <c r="DV26" s="552"/>
      <c r="DW26" s="552"/>
      <c r="DX26" s="552"/>
      <c r="DY26" s="553"/>
      <c r="EA26" s="360">
        <f>BP23*CF28</f>
        <v>0.45279912184412735</v>
      </c>
    </row>
    <row r="27" spans="1:133" ht="19.95" customHeight="1" x14ac:dyDescent="0.4">
      <c r="A27" s="383">
        <v>13</v>
      </c>
      <c r="B27" s="388"/>
      <c r="C27" s="388"/>
      <c r="D27" s="388"/>
      <c r="E27" s="390" t="s">
        <v>428</v>
      </c>
      <c r="F27" s="390"/>
      <c r="G27" s="390"/>
      <c r="H27" s="390"/>
      <c r="I27" s="390"/>
      <c r="J27" s="390"/>
      <c r="K27" s="390"/>
      <c r="L27" s="390"/>
      <c r="M27" s="390"/>
      <c r="N27" s="390"/>
      <c r="O27" s="390"/>
      <c r="P27" s="407" t="s">
        <v>409</v>
      </c>
      <c r="Q27" s="407"/>
      <c r="R27" s="407"/>
      <c r="S27" s="407"/>
      <c r="T27" s="407"/>
      <c r="U27" s="407"/>
      <c r="V27" s="407"/>
      <c r="W27" s="407"/>
      <c r="X27" s="407"/>
      <c r="Y27" s="407"/>
      <c r="Z27" s="527">
        <v>20</v>
      </c>
      <c r="AA27" s="527"/>
      <c r="AB27" s="527"/>
      <c r="AC27" s="527"/>
      <c r="AD27" s="527"/>
      <c r="AE27" s="527"/>
      <c r="AF27" s="527"/>
      <c r="AG27" s="527"/>
      <c r="AH27" s="527"/>
      <c r="AI27" s="527"/>
      <c r="AJ27" s="527"/>
      <c r="AK27" s="527"/>
      <c r="AL27" s="511">
        <f t="shared" si="0"/>
        <v>20</v>
      </c>
      <c r="AM27" s="511"/>
      <c r="AN27" s="511"/>
      <c r="AO27" s="511"/>
      <c r="AP27" s="511"/>
      <c r="AQ27" s="511"/>
      <c r="AR27" s="511"/>
      <c r="AS27" s="511"/>
      <c r="AT27" s="511"/>
      <c r="AU27" s="511"/>
      <c r="AV27" s="511"/>
      <c r="AW27" s="511"/>
      <c r="AX27" s="511"/>
      <c r="AY27" s="512">
        <v>88</v>
      </c>
      <c r="AZ27" s="512"/>
      <c r="BA27" s="512"/>
      <c r="BB27" s="512"/>
      <c r="BC27" s="512"/>
      <c r="BD27" s="512"/>
      <c r="BE27" s="512"/>
      <c r="BF27" s="512"/>
      <c r="BG27" s="512"/>
      <c r="BH27" s="512"/>
      <c r="BI27" s="512"/>
      <c r="BJ27" s="512"/>
      <c r="BK27" s="512"/>
      <c r="BL27" s="513"/>
      <c r="BM27" s="326"/>
      <c r="BN27" s="326"/>
      <c r="BO27" s="326"/>
      <c r="BP27" s="545"/>
      <c r="BQ27" s="546"/>
      <c r="BR27" s="546"/>
      <c r="BS27" s="546"/>
      <c r="BT27" s="546"/>
      <c r="BU27" s="546"/>
      <c r="BV27" s="546"/>
      <c r="BW27" s="546"/>
      <c r="BX27" s="546"/>
      <c r="BY27" s="546"/>
      <c r="BZ27" s="546"/>
      <c r="CA27" s="546"/>
      <c r="CB27" s="546"/>
      <c r="CC27" s="546"/>
      <c r="CD27" s="546"/>
      <c r="CE27" s="546"/>
      <c r="CF27" s="550"/>
      <c r="CG27" s="550"/>
      <c r="CH27" s="550"/>
      <c r="CI27" s="550"/>
      <c r="CJ27" s="550"/>
      <c r="CK27" s="550"/>
      <c r="CL27" s="550"/>
      <c r="CM27" s="550"/>
      <c r="CN27" s="550"/>
      <c r="CO27" s="550"/>
      <c r="CP27" s="550"/>
      <c r="CQ27" s="550"/>
      <c r="CR27" s="550"/>
      <c r="CS27" s="550"/>
      <c r="CT27" s="555"/>
      <c r="CU27" s="555"/>
      <c r="CV27" s="555"/>
      <c r="CW27" s="555"/>
      <c r="CX27" s="555"/>
      <c r="CY27" s="555"/>
      <c r="CZ27" s="555"/>
      <c r="DA27" s="555"/>
      <c r="DB27" s="555"/>
      <c r="DC27" s="555"/>
      <c r="DD27" s="555"/>
      <c r="DE27" s="555"/>
      <c r="DF27" s="555"/>
      <c r="DG27" s="555"/>
      <c r="DH27" s="552"/>
      <c r="DI27" s="552"/>
      <c r="DJ27" s="552"/>
      <c r="DK27" s="552"/>
      <c r="DL27" s="552"/>
      <c r="DM27" s="552"/>
      <c r="DN27" s="552"/>
      <c r="DO27" s="552"/>
      <c r="DP27" s="552"/>
      <c r="DQ27" s="552"/>
      <c r="DR27" s="552"/>
      <c r="DS27" s="552"/>
      <c r="DT27" s="552"/>
      <c r="DU27" s="552"/>
      <c r="DV27" s="552"/>
      <c r="DW27" s="552"/>
      <c r="DX27" s="552"/>
      <c r="DY27" s="553"/>
      <c r="EB27" s="363">
        <f>4.6*10</f>
        <v>46</v>
      </c>
    </row>
    <row r="28" spans="1:133" ht="19.95" customHeight="1" x14ac:dyDescent="0.4">
      <c r="A28" s="383">
        <v>14</v>
      </c>
      <c r="B28" s="388"/>
      <c r="C28" s="388"/>
      <c r="D28" s="388"/>
      <c r="E28" s="390" t="s">
        <v>440</v>
      </c>
      <c r="F28" s="390"/>
      <c r="G28" s="390"/>
      <c r="H28" s="390"/>
      <c r="I28" s="390"/>
      <c r="J28" s="390"/>
      <c r="K28" s="390"/>
      <c r="L28" s="390"/>
      <c r="M28" s="390"/>
      <c r="N28" s="390"/>
      <c r="O28" s="390"/>
      <c r="P28" s="407" t="s">
        <v>441</v>
      </c>
      <c r="Q28" s="407"/>
      <c r="R28" s="407"/>
      <c r="S28" s="407"/>
      <c r="T28" s="407"/>
      <c r="U28" s="407"/>
      <c r="V28" s="407"/>
      <c r="W28" s="407"/>
      <c r="X28" s="407"/>
      <c r="Y28" s="407"/>
      <c r="Z28" s="568">
        <v>0.33</v>
      </c>
      <c r="AA28" s="568"/>
      <c r="AB28" s="568"/>
      <c r="AC28" s="568"/>
      <c r="AD28" s="568"/>
      <c r="AE28" s="569">
        <f>SUM(Z13:AJ27)/(1-Z28)*Z28</f>
        <v>717.92238805970146</v>
      </c>
      <c r="AF28" s="569"/>
      <c r="AG28" s="569"/>
      <c r="AH28" s="569"/>
      <c r="AI28" s="569"/>
      <c r="AJ28" s="569"/>
      <c r="AK28" s="569"/>
      <c r="AL28" s="570">
        <f>AE28*$DJ$6</f>
        <v>717.92238805970146</v>
      </c>
      <c r="AM28" s="570"/>
      <c r="AN28" s="570"/>
      <c r="AO28" s="570"/>
      <c r="AP28" s="570"/>
      <c r="AQ28" s="570"/>
      <c r="AR28" s="570"/>
      <c r="AS28" s="570"/>
      <c r="AT28" s="570"/>
      <c r="AU28" s="570"/>
      <c r="AV28" s="570"/>
      <c r="AW28" s="570"/>
      <c r="AX28" s="570"/>
      <c r="AY28" s="512" t="e">
        <f>Q59</f>
        <v>#DIV/0!</v>
      </c>
      <c r="AZ28" s="512"/>
      <c r="BA28" s="512"/>
      <c r="BB28" s="512"/>
      <c r="BC28" s="512"/>
      <c r="BD28" s="512"/>
      <c r="BE28" s="512"/>
      <c r="BF28" s="512"/>
      <c r="BG28" s="512"/>
      <c r="BH28" s="512"/>
      <c r="BI28" s="512"/>
      <c r="BJ28" s="512"/>
      <c r="BK28" s="512"/>
      <c r="BL28" s="513"/>
      <c r="BM28" s="326"/>
      <c r="BN28" s="326"/>
      <c r="BO28" s="326"/>
      <c r="BP28" s="545" t="s">
        <v>490</v>
      </c>
      <c r="BQ28" s="546"/>
      <c r="BR28" s="546"/>
      <c r="BS28" s="546"/>
      <c r="BT28" s="546"/>
      <c r="BU28" s="546"/>
      <c r="BV28" s="546"/>
      <c r="BW28" s="546"/>
      <c r="BX28" s="546"/>
      <c r="BY28" s="546"/>
      <c r="BZ28" s="546"/>
      <c r="CA28" s="546"/>
      <c r="CB28" s="546"/>
      <c r="CC28" s="546"/>
      <c r="CD28" s="546"/>
      <c r="CE28" s="546"/>
      <c r="CF28" s="550">
        <f>Z27/SUM(Z13:AK27)</f>
        <v>1.3721185510428101E-2</v>
      </c>
      <c r="CG28" s="550"/>
      <c r="CH28" s="550"/>
      <c r="CI28" s="550"/>
      <c r="CJ28" s="550"/>
      <c r="CK28" s="550"/>
      <c r="CL28" s="550"/>
      <c r="CM28" s="550"/>
      <c r="CN28" s="550"/>
      <c r="CO28" s="550"/>
      <c r="CP28" s="550"/>
      <c r="CQ28" s="550"/>
      <c r="CR28" s="550"/>
      <c r="CS28" s="550"/>
      <c r="CT28" s="555">
        <f>BP23*CF28*1000</f>
        <v>452.79912184412734</v>
      </c>
      <c r="CU28" s="555"/>
      <c r="CV28" s="555"/>
      <c r="CW28" s="555"/>
      <c r="CX28" s="555"/>
      <c r="CY28" s="555"/>
      <c r="CZ28" s="555"/>
      <c r="DA28" s="555"/>
      <c r="DB28" s="555"/>
      <c r="DC28" s="555"/>
      <c r="DD28" s="555"/>
      <c r="DE28" s="555"/>
      <c r="DF28" s="555"/>
      <c r="DG28" s="555"/>
      <c r="DH28" s="552"/>
      <c r="DI28" s="552"/>
      <c r="DJ28" s="552"/>
      <c r="DK28" s="552"/>
      <c r="DL28" s="552"/>
      <c r="DM28" s="552"/>
      <c r="DN28" s="552"/>
      <c r="DO28" s="552"/>
      <c r="DP28" s="552"/>
      <c r="DQ28" s="552"/>
      <c r="DR28" s="552"/>
      <c r="DS28" s="552"/>
      <c r="DT28" s="552"/>
      <c r="DU28" s="552"/>
      <c r="DV28" s="552"/>
      <c r="DW28" s="552"/>
      <c r="DX28" s="552"/>
      <c r="DY28" s="553"/>
    </row>
    <row r="29" spans="1:133" ht="25.05" customHeight="1" thickBot="1" x14ac:dyDescent="0.45">
      <c r="A29" s="562" t="s">
        <v>410</v>
      </c>
      <c r="B29" s="563"/>
      <c r="C29" s="563"/>
      <c r="D29" s="563"/>
      <c r="E29" s="563"/>
      <c r="F29" s="563"/>
      <c r="G29" s="563"/>
      <c r="H29" s="563"/>
      <c r="I29" s="563"/>
      <c r="J29" s="563"/>
      <c r="K29" s="563"/>
      <c r="L29" s="563"/>
      <c r="M29" s="563"/>
      <c r="N29" s="563"/>
      <c r="O29" s="563"/>
      <c r="P29" s="563"/>
      <c r="Q29" s="563"/>
      <c r="R29" s="563"/>
      <c r="S29" s="563"/>
      <c r="T29" s="563"/>
      <c r="U29" s="563"/>
      <c r="V29" s="563"/>
      <c r="W29" s="563"/>
      <c r="X29" s="563"/>
      <c r="Y29" s="563"/>
      <c r="Z29" s="564">
        <f>SUM(Z13:AK27)+AE28</f>
        <v>2175.5223880597014</v>
      </c>
      <c r="AA29" s="564"/>
      <c r="AB29" s="564"/>
      <c r="AC29" s="564"/>
      <c r="AD29" s="564"/>
      <c r="AE29" s="564"/>
      <c r="AF29" s="564"/>
      <c r="AG29" s="564"/>
      <c r="AH29" s="564"/>
      <c r="AI29" s="564"/>
      <c r="AJ29" s="564"/>
      <c r="AK29" s="564"/>
      <c r="AL29" s="565">
        <f>SUM(AL13:AX28)</f>
        <v>2175.5223880597014</v>
      </c>
      <c r="AM29" s="565"/>
      <c r="AN29" s="565"/>
      <c r="AO29" s="565"/>
      <c r="AP29" s="565"/>
      <c r="AQ29" s="565"/>
      <c r="AR29" s="565"/>
      <c r="AS29" s="565"/>
      <c r="AT29" s="565"/>
      <c r="AU29" s="565"/>
      <c r="AV29" s="565"/>
      <c r="AW29" s="565"/>
      <c r="AX29" s="565"/>
      <c r="AY29" s="566" t="e">
        <f>SUM(AY13:BL28)</f>
        <v>#DIV/0!</v>
      </c>
      <c r="AZ29" s="566"/>
      <c r="BA29" s="566"/>
      <c r="BB29" s="566"/>
      <c r="BC29" s="566"/>
      <c r="BD29" s="566"/>
      <c r="BE29" s="566"/>
      <c r="BF29" s="566"/>
      <c r="BG29" s="566"/>
      <c r="BH29" s="566"/>
      <c r="BI29" s="566"/>
      <c r="BJ29" s="566"/>
      <c r="BK29" s="566"/>
      <c r="BL29" s="567"/>
      <c r="BM29" s="326"/>
      <c r="BN29" s="326"/>
      <c r="BO29" s="326"/>
      <c r="BP29" s="556"/>
      <c r="BQ29" s="557"/>
      <c r="BR29" s="557"/>
      <c r="BS29" s="557"/>
      <c r="BT29" s="557"/>
      <c r="BU29" s="557"/>
      <c r="BV29" s="557"/>
      <c r="BW29" s="557"/>
      <c r="BX29" s="557"/>
      <c r="BY29" s="557"/>
      <c r="BZ29" s="557"/>
      <c r="CA29" s="557"/>
      <c r="CB29" s="557"/>
      <c r="CC29" s="557"/>
      <c r="CD29" s="557"/>
      <c r="CE29" s="557"/>
      <c r="CF29" s="558"/>
      <c r="CG29" s="558"/>
      <c r="CH29" s="558"/>
      <c r="CI29" s="558"/>
      <c r="CJ29" s="558"/>
      <c r="CK29" s="558"/>
      <c r="CL29" s="558"/>
      <c r="CM29" s="558"/>
      <c r="CN29" s="558"/>
      <c r="CO29" s="558"/>
      <c r="CP29" s="558"/>
      <c r="CQ29" s="558"/>
      <c r="CR29" s="558"/>
      <c r="CS29" s="558"/>
      <c r="CT29" s="559"/>
      <c r="CU29" s="559"/>
      <c r="CV29" s="559"/>
      <c r="CW29" s="559"/>
      <c r="CX29" s="559"/>
      <c r="CY29" s="559"/>
      <c r="CZ29" s="559"/>
      <c r="DA29" s="559"/>
      <c r="DB29" s="559"/>
      <c r="DC29" s="559"/>
      <c r="DD29" s="559"/>
      <c r="DE29" s="559"/>
      <c r="DF29" s="559"/>
      <c r="DG29" s="559"/>
      <c r="DH29" s="560"/>
      <c r="DI29" s="560"/>
      <c r="DJ29" s="560"/>
      <c r="DK29" s="560"/>
      <c r="DL29" s="560"/>
      <c r="DM29" s="560"/>
      <c r="DN29" s="560"/>
      <c r="DO29" s="560"/>
      <c r="DP29" s="560"/>
      <c r="DQ29" s="560"/>
      <c r="DR29" s="560"/>
      <c r="DS29" s="560"/>
      <c r="DT29" s="560"/>
      <c r="DU29" s="560"/>
      <c r="DV29" s="560"/>
      <c r="DW29" s="560"/>
      <c r="DX29" s="560"/>
      <c r="DY29" s="561"/>
    </row>
    <row r="30" spans="1:133" ht="19.95" customHeight="1" x14ac:dyDescent="0.4">
      <c r="A30" s="327"/>
      <c r="B30" s="330"/>
      <c r="C30" s="330"/>
      <c r="D30" s="330"/>
      <c r="E30" s="330"/>
      <c r="F30" s="330"/>
      <c r="G30" s="330"/>
      <c r="H30" s="330"/>
      <c r="I30" s="330"/>
      <c r="J30" s="330"/>
      <c r="K30" s="330"/>
      <c r="L30" s="330"/>
      <c r="M30" s="330"/>
      <c r="N30" s="330"/>
      <c r="O30" s="330"/>
      <c r="P30" s="330"/>
      <c r="Q30" s="330"/>
      <c r="R30" s="330"/>
      <c r="S30" s="330"/>
      <c r="T30" s="330"/>
      <c r="U30" s="330"/>
      <c r="V30" s="330"/>
      <c r="W30" s="330"/>
      <c r="X30" s="330"/>
      <c r="Y30" s="330"/>
      <c r="Z30" s="330"/>
      <c r="AA30" s="330"/>
      <c r="AB30" s="330"/>
      <c r="AC30" s="330"/>
      <c r="AD30" s="330"/>
      <c r="AE30" s="330"/>
      <c r="AF30" s="330"/>
      <c r="AG30" s="330"/>
      <c r="AH30" s="330"/>
      <c r="AI30" s="330"/>
      <c r="AJ30" s="330"/>
      <c r="AK30" s="330"/>
      <c r="AL30" s="330"/>
      <c r="AM30" s="330"/>
      <c r="AN30" s="330"/>
      <c r="AO30" s="330"/>
      <c r="AP30" s="330"/>
      <c r="AQ30" s="330"/>
      <c r="AR30" s="330"/>
      <c r="AS30" s="330"/>
      <c r="AT30" s="330"/>
      <c r="AU30" s="330"/>
      <c r="AV30" s="330"/>
      <c r="AW30" s="330"/>
      <c r="AX30" s="330"/>
      <c r="AY30" s="330"/>
      <c r="AZ30" s="330"/>
      <c r="BA30" s="330"/>
      <c r="BB30" s="330"/>
      <c r="BC30" s="330"/>
      <c r="BD30" s="330"/>
      <c r="BE30" s="330"/>
      <c r="BF30" s="330"/>
      <c r="BG30" s="330"/>
      <c r="BH30" s="330"/>
      <c r="BI30" s="330"/>
      <c r="BJ30" s="330"/>
      <c r="BK30" s="330"/>
      <c r="BL30" s="330"/>
      <c r="BM30" s="330"/>
      <c r="BN30" s="330"/>
      <c r="BO30" s="330"/>
      <c r="BP30" s="330"/>
      <c r="BQ30" s="330"/>
      <c r="BR30" s="330"/>
      <c r="BS30" s="330"/>
      <c r="BT30" s="330"/>
      <c r="BU30" s="330"/>
      <c r="BV30" s="330"/>
      <c r="BW30" s="330"/>
      <c r="BX30" s="330"/>
      <c r="BY30" s="330"/>
      <c r="BZ30" s="330"/>
      <c r="CA30" s="330"/>
      <c r="CB30" s="330"/>
      <c r="CC30" s="330"/>
      <c r="CD30" s="330"/>
      <c r="CE30" s="330"/>
      <c r="CF30" s="330"/>
      <c r="CG30" s="330"/>
      <c r="CH30" s="330"/>
      <c r="CI30" s="330"/>
      <c r="CJ30" s="330"/>
      <c r="CK30" s="330"/>
      <c r="CL30" s="330"/>
      <c r="CM30" s="330"/>
      <c r="CN30" s="330"/>
      <c r="CO30" s="330"/>
      <c r="CP30" s="330"/>
      <c r="CQ30" s="330"/>
      <c r="CR30" s="330"/>
      <c r="CS30" s="330"/>
      <c r="CT30" s="330"/>
      <c r="CU30" s="330"/>
      <c r="CV30" s="330"/>
      <c r="CW30" s="330"/>
      <c r="CX30" s="330"/>
      <c r="CY30" s="330"/>
      <c r="CZ30" s="330"/>
      <c r="DA30" s="330"/>
      <c r="DB30" s="330"/>
      <c r="DC30" s="330"/>
      <c r="DD30" s="330"/>
      <c r="DE30" s="330"/>
      <c r="DF30" s="330"/>
      <c r="DG30" s="330"/>
      <c r="DH30" s="330"/>
      <c r="DI30" s="330"/>
      <c r="DJ30" s="330"/>
      <c r="DK30" s="330"/>
      <c r="DL30" s="330"/>
      <c r="DM30" s="330"/>
      <c r="DN30" s="330"/>
      <c r="DO30" s="330"/>
      <c r="DP30" s="330"/>
      <c r="DQ30" s="330"/>
      <c r="DR30" s="330"/>
      <c r="DS30" s="330"/>
      <c r="DT30" s="330"/>
      <c r="DU30" s="330"/>
      <c r="DV30" s="330"/>
      <c r="DW30" s="330"/>
      <c r="DX30" s="330"/>
      <c r="DY30" s="330"/>
    </row>
    <row r="31" spans="1:133" ht="25.05" customHeight="1" x14ac:dyDescent="0.4">
      <c r="A31" s="449" t="s">
        <v>521</v>
      </c>
      <c r="B31" s="449"/>
      <c r="C31" s="449"/>
      <c r="D31" s="449"/>
      <c r="E31" s="449"/>
      <c r="F31" s="449"/>
      <c r="G31" s="449"/>
      <c r="H31" s="449"/>
      <c r="I31" s="449"/>
      <c r="J31" s="449"/>
      <c r="K31" s="449"/>
      <c r="L31" s="449"/>
      <c r="M31" s="449"/>
      <c r="N31" s="449"/>
      <c r="O31" s="449"/>
      <c r="P31" s="449"/>
      <c r="Q31" s="449"/>
      <c r="R31" s="449"/>
      <c r="S31" s="449"/>
      <c r="T31" s="449"/>
      <c r="U31" s="449"/>
      <c r="V31" s="449"/>
      <c r="W31" s="449"/>
      <c r="X31" s="449"/>
      <c r="Y31" s="449"/>
      <c r="Z31" s="449"/>
      <c r="AA31" s="449"/>
      <c r="AB31" s="449"/>
      <c r="AC31" s="449"/>
      <c r="AD31" s="449"/>
      <c r="AE31" s="449"/>
      <c r="AF31" s="449"/>
      <c r="AG31" s="449"/>
      <c r="AH31" s="449"/>
      <c r="AI31" s="449"/>
      <c r="AJ31" s="449"/>
      <c r="AK31" s="449"/>
      <c r="AL31" s="449"/>
      <c r="AM31" s="449"/>
      <c r="AN31" s="449"/>
      <c r="AO31" s="449"/>
      <c r="AP31" s="449"/>
      <c r="AQ31" s="449"/>
      <c r="AR31" s="449"/>
      <c r="AS31" s="449"/>
      <c r="AT31" s="449"/>
      <c r="AU31" s="449"/>
      <c r="AV31" s="449"/>
      <c r="AW31" s="449"/>
      <c r="AX31" s="449"/>
      <c r="AY31" s="449"/>
      <c r="AZ31" s="449"/>
      <c r="BA31" s="449"/>
      <c r="BB31" s="449"/>
      <c r="BC31" s="449"/>
      <c r="BD31" s="449"/>
      <c r="BE31" s="449"/>
      <c r="BF31" s="449"/>
      <c r="BG31" s="449"/>
      <c r="BH31" s="449"/>
      <c r="BI31" s="449"/>
      <c r="BJ31" s="449"/>
      <c r="BK31" s="449"/>
      <c r="BL31" s="449"/>
      <c r="BM31" s="449"/>
      <c r="BN31" s="449"/>
      <c r="BO31" s="449"/>
      <c r="BP31" s="449"/>
      <c r="BQ31" s="449"/>
      <c r="BR31" s="449"/>
      <c r="BS31" s="449"/>
      <c r="BT31" s="449"/>
      <c r="BU31" s="449"/>
      <c r="BV31" s="449"/>
      <c r="BW31" s="449"/>
      <c r="BX31" s="449"/>
      <c r="BY31" s="449"/>
      <c r="BZ31" s="449"/>
      <c r="CA31" s="449"/>
      <c r="CB31" s="449"/>
      <c r="CC31" s="449"/>
      <c r="CD31" s="449"/>
      <c r="CE31" s="449"/>
      <c r="CF31" s="449"/>
      <c r="CG31" s="449"/>
      <c r="CH31" s="449"/>
      <c r="CI31" s="449"/>
      <c r="CJ31" s="449"/>
      <c r="CK31" s="449"/>
      <c r="CL31" s="449"/>
      <c r="CM31" s="449"/>
      <c r="CN31" s="449"/>
      <c r="CO31" s="449"/>
      <c r="CP31" s="449"/>
      <c r="CQ31" s="449"/>
      <c r="CR31" s="449"/>
      <c r="CS31" s="449"/>
      <c r="CT31" s="449"/>
      <c r="CU31" s="449"/>
      <c r="CV31" s="449"/>
      <c r="CW31" s="449"/>
      <c r="CX31" s="449"/>
      <c r="CY31" s="449"/>
      <c r="CZ31" s="449"/>
      <c r="DA31" s="449"/>
      <c r="DB31" s="449"/>
      <c r="DC31" s="449"/>
      <c r="DD31" s="449"/>
      <c r="DE31" s="449"/>
      <c r="DF31" s="449"/>
      <c r="DG31" s="449"/>
      <c r="DH31" s="449"/>
      <c r="DI31" s="449"/>
      <c r="DJ31" s="449"/>
      <c r="DK31" s="449"/>
      <c r="DL31" s="449"/>
      <c r="DM31" s="449"/>
      <c r="DN31" s="449"/>
      <c r="DO31" s="449"/>
      <c r="DP31" s="449"/>
      <c r="DQ31" s="449"/>
      <c r="DR31" s="449"/>
      <c r="DS31" s="449"/>
      <c r="DT31" s="449"/>
      <c r="DU31" s="449"/>
      <c r="DV31" s="449"/>
      <c r="DW31" s="449"/>
      <c r="DX31" s="449"/>
      <c r="DY31" s="449"/>
    </row>
    <row r="32" spans="1:133" ht="10.050000000000001" customHeight="1" thickBot="1" x14ac:dyDescent="0.45">
      <c r="A32" s="327"/>
      <c r="B32" s="330"/>
      <c r="C32" s="330"/>
      <c r="D32" s="330"/>
      <c r="E32" s="330"/>
      <c r="F32" s="330"/>
      <c r="G32" s="330"/>
      <c r="H32" s="330"/>
      <c r="I32" s="330"/>
      <c r="J32" s="330"/>
      <c r="K32" s="330"/>
      <c r="L32" s="330"/>
      <c r="M32" s="330"/>
      <c r="N32" s="330"/>
      <c r="O32" s="330"/>
      <c r="P32" s="330"/>
      <c r="Q32" s="330"/>
      <c r="R32" s="330"/>
      <c r="S32" s="330"/>
      <c r="T32" s="330"/>
      <c r="U32" s="330"/>
      <c r="V32" s="330"/>
      <c r="W32" s="330"/>
      <c r="X32" s="330"/>
      <c r="Y32" s="330"/>
      <c r="Z32" s="330"/>
      <c r="AA32" s="330"/>
      <c r="AB32" s="330"/>
      <c r="AC32" s="330"/>
      <c r="AD32" s="330"/>
      <c r="AE32" s="330"/>
      <c r="AF32" s="330"/>
      <c r="AG32" s="330"/>
      <c r="AH32" s="330"/>
      <c r="AI32" s="330"/>
      <c r="AJ32" s="330"/>
      <c r="AK32" s="330"/>
      <c r="AL32" s="330"/>
      <c r="AM32" s="330"/>
      <c r="AN32" s="330"/>
      <c r="AO32" s="330"/>
      <c r="AP32" s="330"/>
      <c r="AQ32" s="330"/>
      <c r="AR32" s="330"/>
      <c r="AS32" s="330"/>
      <c r="AT32" s="330"/>
      <c r="AU32" s="330"/>
      <c r="AV32" s="330"/>
      <c r="AW32" s="330"/>
      <c r="AX32" s="330"/>
      <c r="AY32" s="330"/>
      <c r="AZ32" s="330"/>
      <c r="BA32" s="330"/>
      <c r="BB32" s="330"/>
      <c r="BC32" s="330"/>
      <c r="BD32" s="330"/>
      <c r="BE32" s="330"/>
      <c r="BF32" s="330"/>
      <c r="BG32" s="330"/>
      <c r="BH32" s="330"/>
      <c r="BI32" s="330"/>
      <c r="BJ32" s="330"/>
      <c r="BK32" s="330"/>
      <c r="BL32" s="330"/>
      <c r="BM32" s="330"/>
      <c r="BN32" s="330"/>
      <c r="BO32" s="330"/>
      <c r="BP32" s="330"/>
      <c r="BQ32" s="330"/>
      <c r="BR32" s="330"/>
      <c r="BS32" s="330"/>
      <c r="BT32" s="330"/>
      <c r="BU32" s="330"/>
      <c r="BV32" s="330"/>
      <c r="BW32" s="330"/>
      <c r="BX32" s="330"/>
      <c r="BY32" s="330"/>
      <c r="BZ32" s="330"/>
      <c r="CA32" s="330"/>
      <c r="CB32" s="330"/>
      <c r="CC32" s="330"/>
      <c r="CD32" s="330"/>
      <c r="CE32" s="330"/>
      <c r="CF32" s="330"/>
      <c r="CG32" s="330"/>
      <c r="CH32" s="330"/>
      <c r="CI32" s="330"/>
      <c r="CJ32" s="330"/>
      <c r="CK32" s="330"/>
      <c r="CL32" s="330"/>
      <c r="CM32" s="330"/>
      <c r="CN32" s="330"/>
      <c r="CO32" s="330"/>
      <c r="CP32" s="330"/>
      <c r="CQ32" s="330"/>
      <c r="CR32" s="330"/>
      <c r="CS32" s="330"/>
      <c r="CT32" s="330"/>
      <c r="CU32" s="330"/>
      <c r="CV32" s="330"/>
      <c r="CW32" s="330"/>
      <c r="CX32" s="330"/>
      <c r="CY32" s="330"/>
      <c r="CZ32" s="330"/>
      <c r="DA32" s="330"/>
      <c r="DB32" s="330"/>
      <c r="DC32" s="330"/>
      <c r="DD32" s="330"/>
      <c r="DE32" s="330"/>
      <c r="DF32" s="330"/>
      <c r="DG32" s="330"/>
      <c r="DH32" s="330"/>
      <c r="DI32" s="330"/>
      <c r="DJ32" s="330"/>
      <c r="DK32" s="330"/>
      <c r="DL32" s="330"/>
      <c r="DM32" s="330"/>
      <c r="DN32" s="330"/>
      <c r="DO32" s="330"/>
      <c r="DP32" s="330"/>
      <c r="DQ32" s="330"/>
      <c r="DR32" s="330"/>
      <c r="DS32" s="330"/>
      <c r="DT32" s="330"/>
      <c r="DU32" s="330"/>
      <c r="DV32" s="330"/>
      <c r="DW32" s="330"/>
      <c r="DX32" s="330"/>
      <c r="DY32" s="330"/>
    </row>
    <row r="33" spans="1:130" ht="25.05" customHeight="1" x14ac:dyDescent="0.4">
      <c r="A33" s="571" t="s">
        <v>505</v>
      </c>
      <c r="B33" s="572"/>
      <c r="C33" s="572"/>
      <c r="D33" s="572"/>
      <c r="E33" s="575" t="s">
        <v>508</v>
      </c>
      <c r="F33" s="575"/>
      <c r="G33" s="575"/>
      <c r="H33" s="575"/>
      <c r="I33" s="575"/>
      <c r="J33" s="575"/>
      <c r="K33" s="575" t="s">
        <v>509</v>
      </c>
      <c r="L33" s="575"/>
      <c r="M33" s="575"/>
      <c r="N33" s="575"/>
      <c r="O33" s="575"/>
      <c r="P33" s="575"/>
      <c r="Q33" s="575"/>
      <c r="R33" s="576" t="s">
        <v>516</v>
      </c>
      <c r="S33" s="576"/>
      <c r="T33" s="576"/>
      <c r="U33" s="576"/>
      <c r="V33" s="576"/>
      <c r="W33" s="576"/>
      <c r="X33" s="576"/>
      <c r="Y33" s="576"/>
      <c r="Z33" s="576"/>
      <c r="AA33" s="576" t="s">
        <v>512</v>
      </c>
      <c r="AB33" s="498"/>
      <c r="AC33" s="498"/>
      <c r="AD33" s="498"/>
      <c r="AE33" s="498"/>
      <c r="AF33" s="498"/>
      <c r="AG33" s="498"/>
      <c r="AH33" s="498"/>
      <c r="AI33" s="498"/>
      <c r="AJ33" s="575" t="s">
        <v>531</v>
      </c>
      <c r="AK33" s="575"/>
      <c r="AL33" s="575"/>
      <c r="AM33" s="575"/>
      <c r="AN33" s="575"/>
      <c r="AO33" s="575"/>
      <c r="AP33" s="575"/>
      <c r="AQ33" s="575"/>
      <c r="AR33" s="575"/>
      <c r="AS33" s="575"/>
      <c r="AT33" s="576" t="s">
        <v>515</v>
      </c>
      <c r="AU33" s="576"/>
      <c r="AV33" s="576"/>
      <c r="AW33" s="576"/>
      <c r="AX33" s="576"/>
      <c r="AY33" s="576"/>
      <c r="AZ33" s="576"/>
      <c r="BA33" s="576"/>
      <c r="BB33" s="576"/>
      <c r="BC33" s="576"/>
      <c r="BD33" s="575" t="s">
        <v>513</v>
      </c>
      <c r="BE33" s="575"/>
      <c r="BF33" s="575"/>
      <c r="BG33" s="575"/>
      <c r="BH33" s="575"/>
      <c r="BI33" s="575"/>
      <c r="BJ33" s="575"/>
      <c r="BK33" s="575"/>
      <c r="BL33" s="575"/>
      <c r="BM33" s="575"/>
      <c r="BN33" s="575" t="s">
        <v>519</v>
      </c>
      <c r="BO33" s="575"/>
      <c r="BP33" s="575"/>
      <c r="BQ33" s="575"/>
      <c r="BR33" s="575"/>
      <c r="BS33" s="575"/>
      <c r="BT33" s="575"/>
      <c r="BU33" s="575"/>
      <c r="BV33" s="575"/>
      <c r="BW33" s="575"/>
      <c r="BX33" s="575" t="s">
        <v>510</v>
      </c>
      <c r="BY33" s="575"/>
      <c r="BZ33" s="575"/>
      <c r="CA33" s="575"/>
      <c r="CB33" s="575"/>
      <c r="CC33" s="575"/>
      <c r="CD33" s="575"/>
      <c r="CE33" s="575"/>
      <c r="CF33" s="575"/>
      <c r="CG33" s="575"/>
      <c r="CH33" s="575" t="s">
        <v>511</v>
      </c>
      <c r="CI33" s="575"/>
      <c r="CJ33" s="575"/>
      <c r="CK33" s="575"/>
      <c r="CL33" s="575"/>
      <c r="CM33" s="575"/>
      <c r="CN33" s="575"/>
      <c r="CO33" s="575"/>
      <c r="CP33" s="575"/>
      <c r="CQ33" s="575"/>
      <c r="CR33" s="576" t="s">
        <v>507</v>
      </c>
      <c r="CS33" s="576"/>
      <c r="CT33" s="576"/>
      <c r="CU33" s="576"/>
      <c r="CV33" s="576"/>
      <c r="CW33" s="576"/>
      <c r="CX33" s="576"/>
      <c r="CY33" s="576"/>
      <c r="CZ33" s="576"/>
      <c r="DA33" s="576"/>
      <c r="DB33" s="576"/>
      <c r="DC33" s="576"/>
      <c r="DD33" s="498" t="s">
        <v>119</v>
      </c>
      <c r="DE33" s="498"/>
      <c r="DF33" s="498"/>
      <c r="DG33" s="498"/>
      <c r="DH33" s="498"/>
      <c r="DI33" s="498"/>
      <c r="DJ33" s="498"/>
      <c r="DK33" s="498"/>
      <c r="DL33" s="498"/>
      <c r="DM33" s="498"/>
      <c r="DN33" s="498"/>
      <c r="DO33" s="498"/>
      <c r="DP33" s="498"/>
      <c r="DQ33" s="498"/>
      <c r="DR33" s="498"/>
      <c r="DS33" s="498"/>
      <c r="DT33" s="498"/>
      <c r="DU33" s="498"/>
      <c r="DV33" s="498"/>
      <c r="DW33" s="498"/>
      <c r="DX33" s="498"/>
      <c r="DY33" s="539"/>
    </row>
    <row r="34" spans="1:130" ht="25.05" customHeight="1" x14ac:dyDescent="0.4">
      <c r="A34" s="573"/>
      <c r="B34" s="574"/>
      <c r="C34" s="574"/>
      <c r="D34" s="574"/>
      <c r="E34" s="546"/>
      <c r="F34" s="546"/>
      <c r="G34" s="546"/>
      <c r="H34" s="546"/>
      <c r="I34" s="546"/>
      <c r="J34" s="546"/>
      <c r="K34" s="546"/>
      <c r="L34" s="546"/>
      <c r="M34" s="546"/>
      <c r="N34" s="546"/>
      <c r="O34" s="546"/>
      <c r="P34" s="546"/>
      <c r="Q34" s="546"/>
      <c r="R34" s="577"/>
      <c r="S34" s="577"/>
      <c r="T34" s="577"/>
      <c r="U34" s="577"/>
      <c r="V34" s="577"/>
      <c r="W34" s="577"/>
      <c r="X34" s="577"/>
      <c r="Y34" s="577"/>
      <c r="Z34" s="577"/>
      <c r="AA34" s="500"/>
      <c r="AB34" s="500"/>
      <c r="AC34" s="500"/>
      <c r="AD34" s="500"/>
      <c r="AE34" s="500"/>
      <c r="AF34" s="500"/>
      <c r="AG34" s="500"/>
      <c r="AH34" s="500"/>
      <c r="AI34" s="500"/>
      <c r="AJ34" s="546"/>
      <c r="AK34" s="546"/>
      <c r="AL34" s="546"/>
      <c r="AM34" s="546"/>
      <c r="AN34" s="546"/>
      <c r="AO34" s="546"/>
      <c r="AP34" s="546"/>
      <c r="AQ34" s="546"/>
      <c r="AR34" s="546"/>
      <c r="AS34" s="546"/>
      <c r="AT34" s="577"/>
      <c r="AU34" s="577"/>
      <c r="AV34" s="577"/>
      <c r="AW34" s="577"/>
      <c r="AX34" s="577"/>
      <c r="AY34" s="577"/>
      <c r="AZ34" s="577"/>
      <c r="BA34" s="577"/>
      <c r="BB34" s="577"/>
      <c r="BC34" s="577"/>
      <c r="BD34" s="546"/>
      <c r="BE34" s="546"/>
      <c r="BF34" s="546"/>
      <c r="BG34" s="546"/>
      <c r="BH34" s="546"/>
      <c r="BI34" s="546"/>
      <c r="BJ34" s="546"/>
      <c r="BK34" s="546"/>
      <c r="BL34" s="546"/>
      <c r="BM34" s="546"/>
      <c r="BN34" s="546"/>
      <c r="BO34" s="546"/>
      <c r="BP34" s="546"/>
      <c r="BQ34" s="546"/>
      <c r="BR34" s="546"/>
      <c r="BS34" s="546"/>
      <c r="BT34" s="546"/>
      <c r="BU34" s="546"/>
      <c r="BV34" s="546"/>
      <c r="BW34" s="546"/>
      <c r="BX34" s="546"/>
      <c r="BY34" s="546"/>
      <c r="BZ34" s="546"/>
      <c r="CA34" s="546"/>
      <c r="CB34" s="546"/>
      <c r="CC34" s="546"/>
      <c r="CD34" s="546"/>
      <c r="CE34" s="546"/>
      <c r="CF34" s="546"/>
      <c r="CG34" s="546"/>
      <c r="CH34" s="546"/>
      <c r="CI34" s="546"/>
      <c r="CJ34" s="546"/>
      <c r="CK34" s="546"/>
      <c r="CL34" s="546"/>
      <c r="CM34" s="546"/>
      <c r="CN34" s="546"/>
      <c r="CO34" s="546"/>
      <c r="CP34" s="546"/>
      <c r="CQ34" s="546"/>
      <c r="CR34" s="577"/>
      <c r="CS34" s="577"/>
      <c r="CT34" s="577"/>
      <c r="CU34" s="577"/>
      <c r="CV34" s="577"/>
      <c r="CW34" s="577"/>
      <c r="CX34" s="577"/>
      <c r="CY34" s="577"/>
      <c r="CZ34" s="577"/>
      <c r="DA34" s="577"/>
      <c r="DB34" s="577"/>
      <c r="DC34" s="577"/>
      <c r="DD34" s="500"/>
      <c r="DE34" s="500"/>
      <c r="DF34" s="500"/>
      <c r="DG34" s="500"/>
      <c r="DH34" s="500"/>
      <c r="DI34" s="500"/>
      <c r="DJ34" s="500"/>
      <c r="DK34" s="500"/>
      <c r="DL34" s="500"/>
      <c r="DM34" s="500"/>
      <c r="DN34" s="500"/>
      <c r="DO34" s="500"/>
      <c r="DP34" s="500"/>
      <c r="DQ34" s="500"/>
      <c r="DR34" s="500"/>
      <c r="DS34" s="500"/>
      <c r="DT34" s="500"/>
      <c r="DU34" s="500"/>
      <c r="DV34" s="500"/>
      <c r="DW34" s="500"/>
      <c r="DX34" s="500"/>
      <c r="DY34" s="540"/>
    </row>
    <row r="35" spans="1:130" ht="25.05" customHeight="1" x14ac:dyDescent="0.4">
      <c r="A35" s="578">
        <v>1</v>
      </c>
      <c r="B35" s="579"/>
      <c r="C35" s="579"/>
      <c r="D35" s="579"/>
      <c r="E35" s="580"/>
      <c r="F35" s="580"/>
      <c r="G35" s="580"/>
      <c r="H35" s="580"/>
      <c r="I35" s="580"/>
      <c r="J35" s="580"/>
      <c r="K35" s="580"/>
      <c r="L35" s="580"/>
      <c r="M35" s="580"/>
      <c r="N35" s="580"/>
      <c r="O35" s="580"/>
      <c r="P35" s="580"/>
      <c r="Q35" s="580"/>
      <c r="R35" s="581">
        <v>1100</v>
      </c>
      <c r="S35" s="581"/>
      <c r="T35" s="581"/>
      <c r="U35" s="581"/>
      <c r="V35" s="581"/>
      <c r="W35" s="581"/>
      <c r="X35" s="581"/>
      <c r="Y35" s="581"/>
      <c r="Z35" s="581"/>
      <c r="AA35" s="580">
        <v>10</v>
      </c>
      <c r="AB35" s="580"/>
      <c r="AC35" s="580"/>
      <c r="AD35" s="580"/>
      <c r="AE35" s="580"/>
      <c r="AF35" s="580"/>
      <c r="AG35" s="580"/>
      <c r="AH35" s="580"/>
      <c r="AI35" s="580"/>
      <c r="AJ35" s="580" t="s">
        <v>585</v>
      </c>
      <c r="AK35" s="580"/>
      <c r="AL35" s="580"/>
      <c r="AM35" s="580"/>
      <c r="AN35" s="580"/>
      <c r="AO35" s="580"/>
      <c r="AP35" s="580"/>
      <c r="AQ35" s="580"/>
      <c r="AR35" s="580"/>
      <c r="AS35" s="580"/>
      <c r="AT35" s="580" t="s">
        <v>584</v>
      </c>
      <c r="AU35" s="580"/>
      <c r="AV35" s="580"/>
      <c r="AW35" s="580"/>
      <c r="AX35" s="580"/>
      <c r="AY35" s="580"/>
      <c r="AZ35" s="580"/>
      <c r="BA35" s="580"/>
      <c r="BB35" s="580"/>
      <c r="BC35" s="580"/>
      <c r="BD35" s="583" t="s">
        <v>586</v>
      </c>
      <c r="BE35" s="583"/>
      <c r="BF35" s="583"/>
      <c r="BG35" s="583"/>
      <c r="BH35" s="583"/>
      <c r="BI35" s="583"/>
      <c r="BJ35" s="583"/>
      <c r="BK35" s="583"/>
      <c r="BL35" s="583"/>
      <c r="BM35" s="583"/>
      <c r="BN35" s="583"/>
      <c r="BO35" s="583"/>
      <c r="BP35" s="583"/>
      <c r="BQ35" s="583"/>
      <c r="BR35" s="583"/>
      <c r="BS35" s="583"/>
      <c r="BT35" s="583"/>
      <c r="BU35" s="583"/>
      <c r="BV35" s="583"/>
      <c r="BW35" s="583"/>
      <c r="BX35" s="584"/>
      <c r="BY35" s="584"/>
      <c r="BZ35" s="584"/>
      <c r="CA35" s="584"/>
      <c r="CB35" s="584"/>
      <c r="CC35" s="584"/>
      <c r="CD35" s="584"/>
      <c r="CE35" s="584"/>
      <c r="CF35" s="584"/>
      <c r="CG35" s="584"/>
      <c r="CH35" s="584"/>
      <c r="CI35" s="584"/>
      <c r="CJ35" s="584"/>
      <c r="CK35" s="584"/>
      <c r="CL35" s="584"/>
      <c r="CM35" s="584"/>
      <c r="CN35" s="584"/>
      <c r="CO35" s="584"/>
      <c r="CP35" s="584"/>
      <c r="CQ35" s="584"/>
      <c r="CR35" s="580"/>
      <c r="CS35" s="580"/>
      <c r="CT35" s="580"/>
      <c r="CU35" s="580"/>
      <c r="CV35" s="580"/>
      <c r="CW35" s="580"/>
      <c r="CX35" s="580"/>
      <c r="CY35" s="580"/>
      <c r="CZ35" s="580"/>
      <c r="DA35" s="580"/>
      <c r="DB35" s="580"/>
      <c r="DC35" s="580"/>
      <c r="DD35" s="514"/>
      <c r="DE35" s="514"/>
      <c r="DF35" s="514"/>
      <c r="DG35" s="514"/>
      <c r="DH35" s="514"/>
      <c r="DI35" s="514"/>
      <c r="DJ35" s="514"/>
      <c r="DK35" s="514"/>
      <c r="DL35" s="514"/>
      <c r="DM35" s="514"/>
      <c r="DN35" s="514"/>
      <c r="DO35" s="514"/>
      <c r="DP35" s="514"/>
      <c r="DQ35" s="514"/>
      <c r="DR35" s="514"/>
      <c r="DS35" s="514"/>
      <c r="DT35" s="514"/>
      <c r="DU35" s="514"/>
      <c r="DV35" s="514"/>
      <c r="DW35" s="514"/>
      <c r="DX35" s="514"/>
      <c r="DY35" s="582"/>
    </row>
    <row r="36" spans="1:130" ht="25.05" customHeight="1" x14ac:dyDescent="0.4">
      <c r="A36" s="578">
        <v>2</v>
      </c>
      <c r="B36" s="579"/>
      <c r="C36" s="579"/>
      <c r="D36" s="579"/>
      <c r="E36" s="580"/>
      <c r="F36" s="580"/>
      <c r="G36" s="580"/>
      <c r="H36" s="580"/>
      <c r="I36" s="580"/>
      <c r="J36" s="580"/>
      <c r="K36" s="580"/>
      <c r="L36" s="580"/>
      <c r="M36" s="580"/>
      <c r="N36" s="580"/>
      <c r="O36" s="580"/>
      <c r="P36" s="580"/>
      <c r="Q36" s="580"/>
      <c r="R36" s="581"/>
      <c r="S36" s="581"/>
      <c r="T36" s="581"/>
      <c r="U36" s="581"/>
      <c r="V36" s="581"/>
      <c r="W36" s="581"/>
      <c r="X36" s="581"/>
      <c r="Y36" s="581"/>
      <c r="Z36" s="581"/>
      <c r="AA36" s="580"/>
      <c r="AB36" s="580"/>
      <c r="AC36" s="580"/>
      <c r="AD36" s="580"/>
      <c r="AE36" s="580"/>
      <c r="AF36" s="580"/>
      <c r="AG36" s="580"/>
      <c r="AH36" s="580"/>
      <c r="AI36" s="580"/>
      <c r="AJ36" s="580"/>
      <c r="AK36" s="580"/>
      <c r="AL36" s="580"/>
      <c r="AM36" s="580"/>
      <c r="AN36" s="580"/>
      <c r="AO36" s="580"/>
      <c r="AP36" s="580"/>
      <c r="AQ36" s="580"/>
      <c r="AR36" s="580"/>
      <c r="AS36" s="580"/>
      <c r="AT36" s="580"/>
      <c r="AU36" s="580"/>
      <c r="AV36" s="580"/>
      <c r="AW36" s="580"/>
      <c r="AX36" s="580"/>
      <c r="AY36" s="580"/>
      <c r="AZ36" s="580"/>
      <c r="BA36" s="580"/>
      <c r="BB36" s="580"/>
      <c r="BC36" s="580"/>
      <c r="BD36" s="583"/>
      <c r="BE36" s="583"/>
      <c r="BF36" s="583"/>
      <c r="BG36" s="583"/>
      <c r="BH36" s="583"/>
      <c r="BI36" s="583"/>
      <c r="BJ36" s="583"/>
      <c r="BK36" s="583"/>
      <c r="BL36" s="583"/>
      <c r="BM36" s="583"/>
      <c r="BN36" s="583"/>
      <c r="BO36" s="583"/>
      <c r="BP36" s="583"/>
      <c r="BQ36" s="583"/>
      <c r="BR36" s="583"/>
      <c r="BS36" s="583"/>
      <c r="BT36" s="583"/>
      <c r="BU36" s="583"/>
      <c r="BV36" s="583"/>
      <c r="BW36" s="583"/>
      <c r="BX36" s="584"/>
      <c r="BY36" s="584"/>
      <c r="BZ36" s="584"/>
      <c r="CA36" s="584"/>
      <c r="CB36" s="584"/>
      <c r="CC36" s="584"/>
      <c r="CD36" s="584"/>
      <c r="CE36" s="584"/>
      <c r="CF36" s="584"/>
      <c r="CG36" s="584"/>
      <c r="CH36" s="584"/>
      <c r="CI36" s="584"/>
      <c r="CJ36" s="584"/>
      <c r="CK36" s="584"/>
      <c r="CL36" s="584"/>
      <c r="CM36" s="584"/>
      <c r="CN36" s="584"/>
      <c r="CO36" s="584"/>
      <c r="CP36" s="584"/>
      <c r="CQ36" s="584"/>
      <c r="CR36" s="580"/>
      <c r="CS36" s="580"/>
      <c r="CT36" s="580"/>
      <c r="CU36" s="580"/>
      <c r="CV36" s="580"/>
      <c r="CW36" s="580"/>
      <c r="CX36" s="580"/>
      <c r="CY36" s="580"/>
      <c r="CZ36" s="580"/>
      <c r="DA36" s="580"/>
      <c r="DB36" s="580"/>
      <c r="DC36" s="580"/>
      <c r="DD36" s="580"/>
      <c r="DE36" s="580"/>
      <c r="DF36" s="580"/>
      <c r="DG36" s="580"/>
      <c r="DH36" s="580"/>
      <c r="DI36" s="580"/>
      <c r="DJ36" s="580"/>
      <c r="DK36" s="580"/>
      <c r="DL36" s="580"/>
      <c r="DM36" s="580"/>
      <c r="DN36" s="580"/>
      <c r="DO36" s="580"/>
      <c r="DP36" s="580"/>
      <c r="DQ36" s="580"/>
      <c r="DR36" s="580"/>
      <c r="DS36" s="580"/>
      <c r="DT36" s="580"/>
      <c r="DU36" s="580"/>
      <c r="DV36" s="580"/>
      <c r="DW36" s="580"/>
      <c r="DX36" s="580"/>
      <c r="DY36" s="585"/>
    </row>
    <row r="37" spans="1:130" ht="25.05" customHeight="1" x14ac:dyDescent="0.4">
      <c r="A37" s="578">
        <v>3</v>
      </c>
      <c r="B37" s="579"/>
      <c r="C37" s="579"/>
      <c r="D37" s="579"/>
      <c r="E37" s="580"/>
      <c r="F37" s="580"/>
      <c r="G37" s="580"/>
      <c r="H37" s="580"/>
      <c r="I37" s="580"/>
      <c r="J37" s="580"/>
      <c r="K37" s="580"/>
      <c r="L37" s="580"/>
      <c r="M37" s="580"/>
      <c r="N37" s="580"/>
      <c r="O37" s="580"/>
      <c r="P37" s="580"/>
      <c r="Q37" s="580"/>
      <c r="R37" s="581"/>
      <c r="S37" s="581"/>
      <c r="T37" s="581"/>
      <c r="U37" s="581"/>
      <c r="V37" s="581"/>
      <c r="W37" s="581"/>
      <c r="X37" s="581"/>
      <c r="Y37" s="581"/>
      <c r="Z37" s="581"/>
      <c r="AA37" s="580"/>
      <c r="AB37" s="580"/>
      <c r="AC37" s="580"/>
      <c r="AD37" s="580"/>
      <c r="AE37" s="580"/>
      <c r="AF37" s="580"/>
      <c r="AG37" s="580"/>
      <c r="AH37" s="580"/>
      <c r="AI37" s="580"/>
      <c r="AJ37" s="580"/>
      <c r="AK37" s="580"/>
      <c r="AL37" s="580"/>
      <c r="AM37" s="580"/>
      <c r="AN37" s="580"/>
      <c r="AO37" s="580"/>
      <c r="AP37" s="580"/>
      <c r="AQ37" s="580"/>
      <c r="AR37" s="580"/>
      <c r="AS37" s="580"/>
      <c r="AT37" s="580"/>
      <c r="AU37" s="580"/>
      <c r="AV37" s="580"/>
      <c r="AW37" s="580"/>
      <c r="AX37" s="580"/>
      <c r="AY37" s="580"/>
      <c r="AZ37" s="580"/>
      <c r="BA37" s="580"/>
      <c r="BB37" s="580"/>
      <c r="BC37" s="580"/>
      <c r="BD37" s="583"/>
      <c r="BE37" s="583"/>
      <c r="BF37" s="583"/>
      <c r="BG37" s="583"/>
      <c r="BH37" s="583"/>
      <c r="BI37" s="583"/>
      <c r="BJ37" s="583"/>
      <c r="BK37" s="583"/>
      <c r="BL37" s="583"/>
      <c r="BM37" s="583"/>
      <c r="BN37" s="583"/>
      <c r="BO37" s="583"/>
      <c r="BP37" s="583"/>
      <c r="BQ37" s="583"/>
      <c r="BR37" s="583"/>
      <c r="BS37" s="583"/>
      <c r="BT37" s="583"/>
      <c r="BU37" s="583"/>
      <c r="BV37" s="583"/>
      <c r="BW37" s="583"/>
      <c r="BX37" s="584"/>
      <c r="BY37" s="584"/>
      <c r="BZ37" s="584"/>
      <c r="CA37" s="584"/>
      <c r="CB37" s="584"/>
      <c r="CC37" s="584"/>
      <c r="CD37" s="584"/>
      <c r="CE37" s="584"/>
      <c r="CF37" s="584"/>
      <c r="CG37" s="584"/>
      <c r="CH37" s="584"/>
      <c r="CI37" s="584"/>
      <c r="CJ37" s="584"/>
      <c r="CK37" s="584"/>
      <c r="CL37" s="584"/>
      <c r="CM37" s="584"/>
      <c r="CN37" s="584"/>
      <c r="CO37" s="584"/>
      <c r="CP37" s="584"/>
      <c r="CQ37" s="584"/>
      <c r="CR37" s="580"/>
      <c r="CS37" s="580"/>
      <c r="CT37" s="580"/>
      <c r="CU37" s="580"/>
      <c r="CV37" s="580"/>
      <c r="CW37" s="580"/>
      <c r="CX37" s="580"/>
      <c r="CY37" s="580"/>
      <c r="CZ37" s="580"/>
      <c r="DA37" s="580"/>
      <c r="DB37" s="580"/>
      <c r="DC37" s="580"/>
      <c r="DD37" s="514"/>
      <c r="DE37" s="514"/>
      <c r="DF37" s="514"/>
      <c r="DG37" s="514"/>
      <c r="DH37" s="514"/>
      <c r="DI37" s="514"/>
      <c r="DJ37" s="514"/>
      <c r="DK37" s="514"/>
      <c r="DL37" s="514"/>
      <c r="DM37" s="514"/>
      <c r="DN37" s="514"/>
      <c r="DO37" s="514"/>
      <c r="DP37" s="514"/>
      <c r="DQ37" s="514"/>
      <c r="DR37" s="514"/>
      <c r="DS37" s="514"/>
      <c r="DT37" s="514"/>
      <c r="DU37" s="514"/>
      <c r="DV37" s="514"/>
      <c r="DW37" s="514"/>
      <c r="DX37" s="514"/>
      <c r="DY37" s="582"/>
    </row>
    <row r="38" spans="1:130" ht="25.05" customHeight="1" x14ac:dyDescent="0.4">
      <c r="A38" s="578">
        <v>4</v>
      </c>
      <c r="B38" s="579"/>
      <c r="C38" s="579"/>
      <c r="D38" s="579"/>
      <c r="E38" s="580"/>
      <c r="F38" s="580"/>
      <c r="G38" s="580"/>
      <c r="H38" s="580"/>
      <c r="I38" s="580"/>
      <c r="J38" s="580"/>
      <c r="K38" s="580"/>
      <c r="L38" s="580"/>
      <c r="M38" s="580"/>
      <c r="N38" s="580"/>
      <c r="O38" s="580"/>
      <c r="P38" s="580"/>
      <c r="Q38" s="580"/>
      <c r="R38" s="581"/>
      <c r="S38" s="581"/>
      <c r="T38" s="581"/>
      <c r="U38" s="581"/>
      <c r="V38" s="581"/>
      <c r="W38" s="581"/>
      <c r="X38" s="581"/>
      <c r="Y38" s="581"/>
      <c r="Z38" s="581"/>
      <c r="AA38" s="580"/>
      <c r="AB38" s="580"/>
      <c r="AC38" s="580"/>
      <c r="AD38" s="580"/>
      <c r="AE38" s="580"/>
      <c r="AF38" s="580"/>
      <c r="AG38" s="580"/>
      <c r="AH38" s="580"/>
      <c r="AI38" s="580"/>
      <c r="AJ38" s="580"/>
      <c r="AK38" s="580"/>
      <c r="AL38" s="580"/>
      <c r="AM38" s="580"/>
      <c r="AN38" s="580"/>
      <c r="AO38" s="580"/>
      <c r="AP38" s="580"/>
      <c r="AQ38" s="580"/>
      <c r="AR38" s="580"/>
      <c r="AS38" s="580"/>
      <c r="AT38" s="580"/>
      <c r="AU38" s="580"/>
      <c r="AV38" s="580"/>
      <c r="AW38" s="580"/>
      <c r="AX38" s="580"/>
      <c r="AY38" s="580"/>
      <c r="AZ38" s="580"/>
      <c r="BA38" s="580"/>
      <c r="BB38" s="580"/>
      <c r="BC38" s="580"/>
      <c r="BD38" s="583"/>
      <c r="BE38" s="583"/>
      <c r="BF38" s="583"/>
      <c r="BG38" s="583"/>
      <c r="BH38" s="583"/>
      <c r="BI38" s="583"/>
      <c r="BJ38" s="583"/>
      <c r="BK38" s="583"/>
      <c r="BL38" s="583"/>
      <c r="BM38" s="583"/>
      <c r="BN38" s="583"/>
      <c r="BO38" s="583"/>
      <c r="BP38" s="583"/>
      <c r="BQ38" s="583"/>
      <c r="BR38" s="583"/>
      <c r="BS38" s="583"/>
      <c r="BT38" s="583"/>
      <c r="BU38" s="583"/>
      <c r="BV38" s="583"/>
      <c r="BW38" s="583"/>
      <c r="BX38" s="584"/>
      <c r="BY38" s="584"/>
      <c r="BZ38" s="584"/>
      <c r="CA38" s="584"/>
      <c r="CB38" s="584"/>
      <c r="CC38" s="584"/>
      <c r="CD38" s="584"/>
      <c r="CE38" s="584"/>
      <c r="CF38" s="584"/>
      <c r="CG38" s="584"/>
      <c r="CH38" s="584"/>
      <c r="CI38" s="584"/>
      <c r="CJ38" s="584"/>
      <c r="CK38" s="584"/>
      <c r="CL38" s="584"/>
      <c r="CM38" s="584"/>
      <c r="CN38" s="584"/>
      <c r="CO38" s="584"/>
      <c r="CP38" s="584"/>
      <c r="CQ38" s="584"/>
      <c r="CR38" s="580"/>
      <c r="CS38" s="580"/>
      <c r="CT38" s="580"/>
      <c r="CU38" s="580"/>
      <c r="CV38" s="580"/>
      <c r="CW38" s="580"/>
      <c r="CX38" s="580"/>
      <c r="CY38" s="580"/>
      <c r="CZ38" s="580"/>
      <c r="DA38" s="580"/>
      <c r="DB38" s="580"/>
      <c r="DC38" s="580"/>
      <c r="DD38" s="514"/>
      <c r="DE38" s="514"/>
      <c r="DF38" s="514"/>
      <c r="DG38" s="514"/>
      <c r="DH38" s="514"/>
      <c r="DI38" s="514"/>
      <c r="DJ38" s="514"/>
      <c r="DK38" s="514"/>
      <c r="DL38" s="514"/>
      <c r="DM38" s="514"/>
      <c r="DN38" s="514"/>
      <c r="DO38" s="514"/>
      <c r="DP38" s="514"/>
      <c r="DQ38" s="514"/>
      <c r="DR38" s="514"/>
      <c r="DS38" s="514"/>
      <c r="DT38" s="514"/>
      <c r="DU38" s="514"/>
      <c r="DV38" s="514"/>
      <c r="DW38" s="514"/>
      <c r="DX38" s="514"/>
      <c r="DY38" s="582"/>
    </row>
    <row r="39" spans="1:130" ht="25.05" customHeight="1" x14ac:dyDescent="0.4">
      <c r="A39" s="578">
        <v>5</v>
      </c>
      <c r="B39" s="579"/>
      <c r="C39" s="579"/>
      <c r="D39" s="579"/>
      <c r="E39" s="580"/>
      <c r="F39" s="580"/>
      <c r="G39" s="580"/>
      <c r="H39" s="580"/>
      <c r="I39" s="580"/>
      <c r="J39" s="580"/>
      <c r="K39" s="580"/>
      <c r="L39" s="580"/>
      <c r="M39" s="580"/>
      <c r="N39" s="580"/>
      <c r="O39" s="580"/>
      <c r="P39" s="580"/>
      <c r="Q39" s="580"/>
      <c r="R39" s="581"/>
      <c r="S39" s="581"/>
      <c r="T39" s="581"/>
      <c r="U39" s="581"/>
      <c r="V39" s="581"/>
      <c r="W39" s="581"/>
      <c r="X39" s="581"/>
      <c r="Y39" s="581"/>
      <c r="Z39" s="581"/>
      <c r="AA39" s="580"/>
      <c r="AB39" s="580"/>
      <c r="AC39" s="580"/>
      <c r="AD39" s="580"/>
      <c r="AE39" s="580"/>
      <c r="AF39" s="580"/>
      <c r="AG39" s="580"/>
      <c r="AH39" s="580"/>
      <c r="AI39" s="580"/>
      <c r="AJ39" s="580"/>
      <c r="AK39" s="580"/>
      <c r="AL39" s="580"/>
      <c r="AM39" s="580"/>
      <c r="AN39" s="580"/>
      <c r="AO39" s="580"/>
      <c r="AP39" s="580"/>
      <c r="AQ39" s="580"/>
      <c r="AR39" s="580"/>
      <c r="AS39" s="580"/>
      <c r="AT39" s="580"/>
      <c r="AU39" s="580"/>
      <c r="AV39" s="580"/>
      <c r="AW39" s="580"/>
      <c r="AX39" s="580"/>
      <c r="AY39" s="580"/>
      <c r="AZ39" s="580"/>
      <c r="BA39" s="580"/>
      <c r="BB39" s="580"/>
      <c r="BC39" s="580"/>
      <c r="BD39" s="583"/>
      <c r="BE39" s="583"/>
      <c r="BF39" s="583"/>
      <c r="BG39" s="583"/>
      <c r="BH39" s="583"/>
      <c r="BI39" s="583"/>
      <c r="BJ39" s="583"/>
      <c r="BK39" s="583"/>
      <c r="BL39" s="583"/>
      <c r="BM39" s="583"/>
      <c r="BN39" s="583"/>
      <c r="BO39" s="583"/>
      <c r="BP39" s="583"/>
      <c r="BQ39" s="583"/>
      <c r="BR39" s="583"/>
      <c r="BS39" s="583"/>
      <c r="BT39" s="583"/>
      <c r="BU39" s="583"/>
      <c r="BV39" s="583"/>
      <c r="BW39" s="583"/>
      <c r="BX39" s="584"/>
      <c r="BY39" s="584"/>
      <c r="BZ39" s="584"/>
      <c r="CA39" s="584"/>
      <c r="CB39" s="584"/>
      <c r="CC39" s="584"/>
      <c r="CD39" s="584"/>
      <c r="CE39" s="584"/>
      <c r="CF39" s="584"/>
      <c r="CG39" s="584"/>
      <c r="CH39" s="584"/>
      <c r="CI39" s="584"/>
      <c r="CJ39" s="584"/>
      <c r="CK39" s="584"/>
      <c r="CL39" s="584"/>
      <c r="CM39" s="584"/>
      <c r="CN39" s="584"/>
      <c r="CO39" s="584"/>
      <c r="CP39" s="584"/>
      <c r="CQ39" s="584"/>
      <c r="CR39" s="580"/>
      <c r="CS39" s="580"/>
      <c r="CT39" s="580"/>
      <c r="CU39" s="580"/>
      <c r="CV39" s="580"/>
      <c r="CW39" s="580"/>
      <c r="CX39" s="580"/>
      <c r="CY39" s="580"/>
      <c r="CZ39" s="580"/>
      <c r="DA39" s="580"/>
      <c r="DB39" s="580"/>
      <c r="DC39" s="580"/>
      <c r="DD39" s="514"/>
      <c r="DE39" s="514"/>
      <c r="DF39" s="514"/>
      <c r="DG39" s="514"/>
      <c r="DH39" s="514"/>
      <c r="DI39" s="514"/>
      <c r="DJ39" s="514"/>
      <c r="DK39" s="514"/>
      <c r="DL39" s="514"/>
      <c r="DM39" s="514"/>
      <c r="DN39" s="514"/>
      <c r="DO39" s="514"/>
      <c r="DP39" s="514"/>
      <c r="DQ39" s="514"/>
      <c r="DR39" s="514"/>
      <c r="DS39" s="514"/>
      <c r="DT39" s="514"/>
      <c r="DU39" s="514"/>
      <c r="DV39" s="514"/>
      <c r="DW39" s="514"/>
      <c r="DX39" s="514"/>
      <c r="DY39" s="582"/>
    </row>
    <row r="40" spans="1:130" ht="25.05" customHeight="1" x14ac:dyDescent="0.4">
      <c r="A40" s="578">
        <v>6</v>
      </c>
      <c r="B40" s="579"/>
      <c r="C40" s="579"/>
      <c r="D40" s="579"/>
      <c r="E40" s="580"/>
      <c r="F40" s="580"/>
      <c r="G40" s="580"/>
      <c r="H40" s="580"/>
      <c r="I40" s="580"/>
      <c r="J40" s="580"/>
      <c r="K40" s="580"/>
      <c r="L40" s="580"/>
      <c r="M40" s="580"/>
      <c r="N40" s="580"/>
      <c r="O40" s="580"/>
      <c r="P40" s="580"/>
      <c r="Q40" s="580"/>
      <c r="R40" s="581"/>
      <c r="S40" s="581"/>
      <c r="T40" s="581"/>
      <c r="U40" s="581"/>
      <c r="V40" s="581"/>
      <c r="W40" s="581"/>
      <c r="X40" s="581"/>
      <c r="Y40" s="581"/>
      <c r="Z40" s="581"/>
      <c r="AA40" s="580"/>
      <c r="AB40" s="580"/>
      <c r="AC40" s="580"/>
      <c r="AD40" s="580"/>
      <c r="AE40" s="580"/>
      <c r="AF40" s="580"/>
      <c r="AG40" s="580"/>
      <c r="AH40" s="580"/>
      <c r="AI40" s="580"/>
      <c r="AJ40" s="580"/>
      <c r="AK40" s="580"/>
      <c r="AL40" s="580"/>
      <c r="AM40" s="580"/>
      <c r="AN40" s="580"/>
      <c r="AO40" s="580"/>
      <c r="AP40" s="580"/>
      <c r="AQ40" s="580"/>
      <c r="AR40" s="580"/>
      <c r="AS40" s="580"/>
      <c r="AT40" s="580"/>
      <c r="AU40" s="580"/>
      <c r="AV40" s="580"/>
      <c r="AW40" s="580"/>
      <c r="AX40" s="580"/>
      <c r="AY40" s="580"/>
      <c r="AZ40" s="580"/>
      <c r="BA40" s="580"/>
      <c r="BB40" s="580"/>
      <c r="BC40" s="580"/>
      <c r="BD40" s="583"/>
      <c r="BE40" s="583"/>
      <c r="BF40" s="583"/>
      <c r="BG40" s="583"/>
      <c r="BH40" s="583"/>
      <c r="BI40" s="583"/>
      <c r="BJ40" s="583"/>
      <c r="BK40" s="583"/>
      <c r="BL40" s="583"/>
      <c r="BM40" s="583"/>
      <c r="BN40" s="583"/>
      <c r="BO40" s="583"/>
      <c r="BP40" s="583"/>
      <c r="BQ40" s="583"/>
      <c r="BR40" s="583"/>
      <c r="BS40" s="583"/>
      <c r="BT40" s="583"/>
      <c r="BU40" s="583"/>
      <c r="BV40" s="583"/>
      <c r="BW40" s="583"/>
      <c r="BX40" s="584"/>
      <c r="BY40" s="584"/>
      <c r="BZ40" s="584"/>
      <c r="CA40" s="584"/>
      <c r="CB40" s="584"/>
      <c r="CC40" s="584"/>
      <c r="CD40" s="584"/>
      <c r="CE40" s="584"/>
      <c r="CF40" s="584"/>
      <c r="CG40" s="584"/>
      <c r="CH40" s="584"/>
      <c r="CI40" s="584"/>
      <c r="CJ40" s="584"/>
      <c r="CK40" s="584"/>
      <c r="CL40" s="584"/>
      <c r="CM40" s="584"/>
      <c r="CN40" s="584"/>
      <c r="CO40" s="584"/>
      <c r="CP40" s="584"/>
      <c r="CQ40" s="584"/>
      <c r="CR40" s="580"/>
      <c r="CS40" s="580"/>
      <c r="CT40" s="580"/>
      <c r="CU40" s="580"/>
      <c r="CV40" s="580"/>
      <c r="CW40" s="580"/>
      <c r="CX40" s="580"/>
      <c r="CY40" s="580"/>
      <c r="CZ40" s="580"/>
      <c r="DA40" s="580"/>
      <c r="DB40" s="580"/>
      <c r="DC40" s="580"/>
      <c r="DD40" s="514"/>
      <c r="DE40" s="514"/>
      <c r="DF40" s="514"/>
      <c r="DG40" s="514"/>
      <c r="DH40" s="514"/>
      <c r="DI40" s="514"/>
      <c r="DJ40" s="514"/>
      <c r="DK40" s="514"/>
      <c r="DL40" s="514"/>
      <c r="DM40" s="514"/>
      <c r="DN40" s="514"/>
      <c r="DO40" s="514"/>
      <c r="DP40" s="514"/>
      <c r="DQ40" s="514"/>
      <c r="DR40" s="514"/>
      <c r="DS40" s="514"/>
      <c r="DT40" s="514"/>
      <c r="DU40" s="514"/>
      <c r="DV40" s="514"/>
      <c r="DW40" s="514"/>
      <c r="DX40" s="514"/>
      <c r="DY40" s="582"/>
    </row>
    <row r="41" spans="1:130" ht="25.05" customHeight="1" x14ac:dyDescent="0.4">
      <c r="A41" s="578">
        <v>7</v>
      </c>
      <c r="B41" s="579"/>
      <c r="C41" s="579"/>
      <c r="D41" s="579"/>
      <c r="E41" s="580"/>
      <c r="F41" s="580"/>
      <c r="G41" s="580"/>
      <c r="H41" s="580"/>
      <c r="I41" s="580"/>
      <c r="J41" s="580"/>
      <c r="K41" s="580"/>
      <c r="L41" s="580"/>
      <c r="M41" s="580"/>
      <c r="N41" s="580"/>
      <c r="O41" s="580"/>
      <c r="P41" s="580"/>
      <c r="Q41" s="580"/>
      <c r="R41" s="581"/>
      <c r="S41" s="581"/>
      <c r="T41" s="581"/>
      <c r="U41" s="581"/>
      <c r="V41" s="581"/>
      <c r="W41" s="581"/>
      <c r="X41" s="581"/>
      <c r="Y41" s="581"/>
      <c r="Z41" s="581"/>
      <c r="AA41" s="580"/>
      <c r="AB41" s="580"/>
      <c r="AC41" s="580"/>
      <c r="AD41" s="580"/>
      <c r="AE41" s="580"/>
      <c r="AF41" s="580"/>
      <c r="AG41" s="580"/>
      <c r="AH41" s="580"/>
      <c r="AI41" s="580"/>
      <c r="AJ41" s="580"/>
      <c r="AK41" s="580"/>
      <c r="AL41" s="580"/>
      <c r="AM41" s="580"/>
      <c r="AN41" s="580"/>
      <c r="AO41" s="580"/>
      <c r="AP41" s="580"/>
      <c r="AQ41" s="580"/>
      <c r="AR41" s="580"/>
      <c r="AS41" s="580"/>
      <c r="AT41" s="580"/>
      <c r="AU41" s="580"/>
      <c r="AV41" s="580"/>
      <c r="AW41" s="580"/>
      <c r="AX41" s="580"/>
      <c r="AY41" s="580"/>
      <c r="AZ41" s="580"/>
      <c r="BA41" s="580"/>
      <c r="BB41" s="580"/>
      <c r="BC41" s="580"/>
      <c r="BD41" s="583"/>
      <c r="BE41" s="583"/>
      <c r="BF41" s="583"/>
      <c r="BG41" s="583"/>
      <c r="BH41" s="583"/>
      <c r="BI41" s="583"/>
      <c r="BJ41" s="583"/>
      <c r="BK41" s="583"/>
      <c r="BL41" s="583"/>
      <c r="BM41" s="583"/>
      <c r="BN41" s="583"/>
      <c r="BO41" s="583"/>
      <c r="BP41" s="583"/>
      <c r="BQ41" s="583"/>
      <c r="BR41" s="583"/>
      <c r="BS41" s="583"/>
      <c r="BT41" s="583"/>
      <c r="BU41" s="583"/>
      <c r="BV41" s="583"/>
      <c r="BW41" s="583"/>
      <c r="BX41" s="584"/>
      <c r="BY41" s="584"/>
      <c r="BZ41" s="584"/>
      <c r="CA41" s="584"/>
      <c r="CB41" s="584"/>
      <c r="CC41" s="584"/>
      <c r="CD41" s="584"/>
      <c r="CE41" s="584"/>
      <c r="CF41" s="584"/>
      <c r="CG41" s="584"/>
      <c r="CH41" s="584"/>
      <c r="CI41" s="584"/>
      <c r="CJ41" s="584"/>
      <c r="CK41" s="584"/>
      <c r="CL41" s="584"/>
      <c r="CM41" s="584"/>
      <c r="CN41" s="584"/>
      <c r="CO41" s="584"/>
      <c r="CP41" s="584"/>
      <c r="CQ41" s="584"/>
      <c r="CR41" s="580"/>
      <c r="CS41" s="580"/>
      <c r="CT41" s="580"/>
      <c r="CU41" s="580"/>
      <c r="CV41" s="580"/>
      <c r="CW41" s="580"/>
      <c r="CX41" s="580"/>
      <c r="CY41" s="580"/>
      <c r="CZ41" s="580"/>
      <c r="DA41" s="580"/>
      <c r="DB41" s="580"/>
      <c r="DC41" s="580"/>
      <c r="DD41" s="514"/>
      <c r="DE41" s="514"/>
      <c r="DF41" s="514"/>
      <c r="DG41" s="514"/>
      <c r="DH41" s="514"/>
      <c r="DI41" s="514"/>
      <c r="DJ41" s="514"/>
      <c r="DK41" s="514"/>
      <c r="DL41" s="514"/>
      <c r="DM41" s="514"/>
      <c r="DN41" s="514"/>
      <c r="DO41" s="514"/>
      <c r="DP41" s="514"/>
      <c r="DQ41" s="514"/>
      <c r="DR41" s="514"/>
      <c r="DS41" s="514"/>
      <c r="DT41" s="514"/>
      <c r="DU41" s="514"/>
      <c r="DV41" s="514"/>
      <c r="DW41" s="514"/>
      <c r="DX41" s="514"/>
      <c r="DY41" s="582"/>
    </row>
    <row r="42" spans="1:130" ht="25.05" customHeight="1" x14ac:dyDescent="0.4">
      <c r="A42" s="578">
        <v>8</v>
      </c>
      <c r="B42" s="579"/>
      <c r="C42" s="579"/>
      <c r="D42" s="579"/>
      <c r="E42" s="580"/>
      <c r="F42" s="580"/>
      <c r="G42" s="580"/>
      <c r="H42" s="580"/>
      <c r="I42" s="580"/>
      <c r="J42" s="580"/>
      <c r="K42" s="580"/>
      <c r="L42" s="580"/>
      <c r="M42" s="580"/>
      <c r="N42" s="580"/>
      <c r="O42" s="580"/>
      <c r="P42" s="580"/>
      <c r="Q42" s="580"/>
      <c r="R42" s="581"/>
      <c r="S42" s="581"/>
      <c r="T42" s="581"/>
      <c r="U42" s="581"/>
      <c r="V42" s="581"/>
      <c r="W42" s="581"/>
      <c r="X42" s="581"/>
      <c r="Y42" s="581"/>
      <c r="Z42" s="581"/>
      <c r="AA42" s="580"/>
      <c r="AB42" s="580"/>
      <c r="AC42" s="580"/>
      <c r="AD42" s="580"/>
      <c r="AE42" s="580"/>
      <c r="AF42" s="580"/>
      <c r="AG42" s="580"/>
      <c r="AH42" s="580"/>
      <c r="AI42" s="580"/>
      <c r="AJ42" s="580"/>
      <c r="AK42" s="580"/>
      <c r="AL42" s="580"/>
      <c r="AM42" s="580"/>
      <c r="AN42" s="580"/>
      <c r="AO42" s="580"/>
      <c r="AP42" s="580"/>
      <c r="AQ42" s="580"/>
      <c r="AR42" s="580"/>
      <c r="AS42" s="580"/>
      <c r="AT42" s="580"/>
      <c r="AU42" s="580"/>
      <c r="AV42" s="580"/>
      <c r="AW42" s="580"/>
      <c r="AX42" s="580"/>
      <c r="AY42" s="580"/>
      <c r="AZ42" s="580"/>
      <c r="BA42" s="580"/>
      <c r="BB42" s="580"/>
      <c r="BC42" s="580"/>
      <c r="BD42" s="586"/>
      <c r="BE42" s="586"/>
      <c r="BF42" s="586"/>
      <c r="BG42" s="586"/>
      <c r="BH42" s="586"/>
      <c r="BI42" s="586"/>
      <c r="BJ42" s="586"/>
      <c r="BK42" s="586"/>
      <c r="BL42" s="586"/>
      <c r="BM42" s="586"/>
      <c r="BN42" s="583"/>
      <c r="BO42" s="583"/>
      <c r="BP42" s="583"/>
      <c r="BQ42" s="583"/>
      <c r="BR42" s="583"/>
      <c r="BS42" s="583"/>
      <c r="BT42" s="583"/>
      <c r="BU42" s="583"/>
      <c r="BV42" s="583"/>
      <c r="BW42" s="583"/>
      <c r="BX42" s="584"/>
      <c r="BY42" s="584"/>
      <c r="BZ42" s="584"/>
      <c r="CA42" s="584"/>
      <c r="CB42" s="584"/>
      <c r="CC42" s="584"/>
      <c r="CD42" s="584"/>
      <c r="CE42" s="584"/>
      <c r="CF42" s="584"/>
      <c r="CG42" s="584"/>
      <c r="CH42" s="584"/>
      <c r="CI42" s="584"/>
      <c r="CJ42" s="584"/>
      <c r="CK42" s="584"/>
      <c r="CL42" s="584"/>
      <c r="CM42" s="584"/>
      <c r="CN42" s="584"/>
      <c r="CO42" s="584"/>
      <c r="CP42" s="584"/>
      <c r="CQ42" s="584"/>
      <c r="CR42" s="580"/>
      <c r="CS42" s="580"/>
      <c r="CT42" s="580"/>
      <c r="CU42" s="580"/>
      <c r="CV42" s="580"/>
      <c r="CW42" s="580"/>
      <c r="CX42" s="580"/>
      <c r="CY42" s="580"/>
      <c r="CZ42" s="580"/>
      <c r="DA42" s="580"/>
      <c r="DB42" s="580"/>
      <c r="DC42" s="580"/>
      <c r="DD42" s="580"/>
      <c r="DE42" s="580"/>
      <c r="DF42" s="580"/>
      <c r="DG42" s="580"/>
      <c r="DH42" s="580"/>
      <c r="DI42" s="580"/>
      <c r="DJ42" s="580"/>
      <c r="DK42" s="580"/>
      <c r="DL42" s="580"/>
      <c r="DM42" s="580"/>
      <c r="DN42" s="580"/>
      <c r="DO42" s="580"/>
      <c r="DP42" s="580"/>
      <c r="DQ42" s="580"/>
      <c r="DR42" s="580"/>
      <c r="DS42" s="580"/>
      <c r="DT42" s="580"/>
      <c r="DU42" s="580"/>
      <c r="DV42" s="580"/>
      <c r="DW42" s="580"/>
      <c r="DX42" s="580"/>
      <c r="DY42" s="585"/>
    </row>
    <row r="43" spans="1:130" ht="25.05" customHeight="1" x14ac:dyDescent="0.4">
      <c r="A43" s="578">
        <v>9</v>
      </c>
      <c r="B43" s="579"/>
      <c r="C43" s="579"/>
      <c r="D43" s="579"/>
      <c r="E43" s="580"/>
      <c r="F43" s="580"/>
      <c r="G43" s="580"/>
      <c r="H43" s="580"/>
      <c r="I43" s="580"/>
      <c r="J43" s="580"/>
      <c r="K43" s="580"/>
      <c r="L43" s="580"/>
      <c r="M43" s="580"/>
      <c r="N43" s="580"/>
      <c r="O43" s="580"/>
      <c r="P43" s="580"/>
      <c r="Q43" s="580"/>
      <c r="R43" s="581"/>
      <c r="S43" s="581"/>
      <c r="T43" s="581"/>
      <c r="U43" s="581"/>
      <c r="V43" s="581"/>
      <c r="W43" s="581"/>
      <c r="X43" s="581"/>
      <c r="Y43" s="581"/>
      <c r="Z43" s="581"/>
      <c r="AA43" s="580"/>
      <c r="AB43" s="580"/>
      <c r="AC43" s="580"/>
      <c r="AD43" s="580"/>
      <c r="AE43" s="580"/>
      <c r="AF43" s="580"/>
      <c r="AG43" s="580"/>
      <c r="AH43" s="580"/>
      <c r="AI43" s="580"/>
      <c r="AJ43" s="580"/>
      <c r="AK43" s="580"/>
      <c r="AL43" s="580"/>
      <c r="AM43" s="580"/>
      <c r="AN43" s="580"/>
      <c r="AO43" s="580"/>
      <c r="AP43" s="580"/>
      <c r="AQ43" s="580"/>
      <c r="AR43" s="580"/>
      <c r="AS43" s="580"/>
      <c r="AT43" s="580"/>
      <c r="AU43" s="580"/>
      <c r="AV43" s="580"/>
      <c r="AW43" s="580"/>
      <c r="AX43" s="580"/>
      <c r="AY43" s="580"/>
      <c r="AZ43" s="580"/>
      <c r="BA43" s="580"/>
      <c r="BB43" s="580"/>
      <c r="BC43" s="580"/>
      <c r="BD43" s="583"/>
      <c r="BE43" s="583"/>
      <c r="BF43" s="583"/>
      <c r="BG43" s="583"/>
      <c r="BH43" s="583"/>
      <c r="BI43" s="583"/>
      <c r="BJ43" s="583"/>
      <c r="BK43" s="583"/>
      <c r="BL43" s="583"/>
      <c r="BM43" s="583"/>
      <c r="BN43" s="583"/>
      <c r="BO43" s="583"/>
      <c r="BP43" s="583"/>
      <c r="BQ43" s="583"/>
      <c r="BR43" s="583"/>
      <c r="BS43" s="583"/>
      <c r="BT43" s="583"/>
      <c r="BU43" s="583"/>
      <c r="BV43" s="583"/>
      <c r="BW43" s="583"/>
      <c r="BX43" s="584"/>
      <c r="BY43" s="584"/>
      <c r="BZ43" s="584"/>
      <c r="CA43" s="584"/>
      <c r="CB43" s="584"/>
      <c r="CC43" s="584"/>
      <c r="CD43" s="584"/>
      <c r="CE43" s="584"/>
      <c r="CF43" s="584"/>
      <c r="CG43" s="584"/>
      <c r="CH43" s="584"/>
      <c r="CI43" s="584"/>
      <c r="CJ43" s="584"/>
      <c r="CK43" s="584"/>
      <c r="CL43" s="584"/>
      <c r="CM43" s="584"/>
      <c r="CN43" s="584"/>
      <c r="CO43" s="584"/>
      <c r="CP43" s="584"/>
      <c r="CQ43" s="584"/>
      <c r="CR43" s="580"/>
      <c r="CS43" s="580"/>
      <c r="CT43" s="580"/>
      <c r="CU43" s="580"/>
      <c r="CV43" s="580"/>
      <c r="CW43" s="580"/>
      <c r="CX43" s="580"/>
      <c r="CY43" s="580"/>
      <c r="CZ43" s="580"/>
      <c r="DA43" s="580"/>
      <c r="DB43" s="580"/>
      <c r="DC43" s="580"/>
      <c r="DD43" s="580"/>
      <c r="DE43" s="580"/>
      <c r="DF43" s="580"/>
      <c r="DG43" s="580"/>
      <c r="DH43" s="580"/>
      <c r="DI43" s="580"/>
      <c r="DJ43" s="580"/>
      <c r="DK43" s="580"/>
      <c r="DL43" s="580"/>
      <c r="DM43" s="580"/>
      <c r="DN43" s="580"/>
      <c r="DO43" s="580"/>
      <c r="DP43" s="580"/>
      <c r="DQ43" s="580"/>
      <c r="DR43" s="580"/>
      <c r="DS43" s="580"/>
      <c r="DT43" s="580"/>
      <c r="DU43" s="580"/>
      <c r="DV43" s="580"/>
      <c r="DW43" s="580"/>
      <c r="DX43" s="580"/>
      <c r="DY43" s="585"/>
    </row>
    <row r="44" spans="1:130" ht="25.05" customHeight="1" x14ac:dyDescent="0.4">
      <c r="A44" s="578">
        <v>10</v>
      </c>
      <c r="B44" s="579"/>
      <c r="C44" s="579"/>
      <c r="D44" s="579"/>
      <c r="E44" s="580"/>
      <c r="F44" s="580"/>
      <c r="G44" s="580"/>
      <c r="H44" s="580"/>
      <c r="I44" s="580"/>
      <c r="J44" s="580"/>
      <c r="K44" s="580"/>
      <c r="L44" s="580"/>
      <c r="M44" s="580"/>
      <c r="N44" s="580"/>
      <c r="O44" s="580"/>
      <c r="P44" s="580"/>
      <c r="Q44" s="580"/>
      <c r="R44" s="581"/>
      <c r="S44" s="581"/>
      <c r="T44" s="581"/>
      <c r="U44" s="581"/>
      <c r="V44" s="581"/>
      <c r="W44" s="581"/>
      <c r="X44" s="581"/>
      <c r="Y44" s="581"/>
      <c r="Z44" s="581"/>
      <c r="AA44" s="580"/>
      <c r="AB44" s="580"/>
      <c r="AC44" s="580"/>
      <c r="AD44" s="580"/>
      <c r="AE44" s="580"/>
      <c r="AF44" s="580"/>
      <c r="AG44" s="580"/>
      <c r="AH44" s="580"/>
      <c r="AI44" s="580"/>
      <c r="AJ44" s="580"/>
      <c r="AK44" s="580"/>
      <c r="AL44" s="580"/>
      <c r="AM44" s="580"/>
      <c r="AN44" s="580"/>
      <c r="AO44" s="580"/>
      <c r="AP44" s="580"/>
      <c r="AQ44" s="580"/>
      <c r="AR44" s="580"/>
      <c r="AS44" s="580"/>
      <c r="AT44" s="580"/>
      <c r="AU44" s="580"/>
      <c r="AV44" s="580"/>
      <c r="AW44" s="580"/>
      <c r="AX44" s="580"/>
      <c r="AY44" s="580"/>
      <c r="AZ44" s="580"/>
      <c r="BA44" s="580"/>
      <c r="BB44" s="580"/>
      <c r="BC44" s="580"/>
      <c r="BD44" s="583"/>
      <c r="BE44" s="583"/>
      <c r="BF44" s="583"/>
      <c r="BG44" s="583"/>
      <c r="BH44" s="583"/>
      <c r="BI44" s="583"/>
      <c r="BJ44" s="583"/>
      <c r="BK44" s="583"/>
      <c r="BL44" s="583"/>
      <c r="BM44" s="583"/>
      <c r="BN44" s="583"/>
      <c r="BO44" s="583"/>
      <c r="BP44" s="583"/>
      <c r="BQ44" s="583"/>
      <c r="BR44" s="583"/>
      <c r="BS44" s="583"/>
      <c r="BT44" s="583"/>
      <c r="BU44" s="583"/>
      <c r="BV44" s="583"/>
      <c r="BW44" s="583"/>
      <c r="BX44" s="584"/>
      <c r="BY44" s="584"/>
      <c r="BZ44" s="584"/>
      <c r="CA44" s="584"/>
      <c r="CB44" s="584"/>
      <c r="CC44" s="584"/>
      <c r="CD44" s="584"/>
      <c r="CE44" s="584"/>
      <c r="CF44" s="584"/>
      <c r="CG44" s="584"/>
      <c r="CH44" s="584"/>
      <c r="CI44" s="584"/>
      <c r="CJ44" s="584"/>
      <c r="CK44" s="584"/>
      <c r="CL44" s="584"/>
      <c r="CM44" s="584"/>
      <c r="CN44" s="584"/>
      <c r="CO44" s="584"/>
      <c r="CP44" s="584"/>
      <c r="CQ44" s="584"/>
      <c r="CR44" s="580"/>
      <c r="CS44" s="580"/>
      <c r="CT44" s="580"/>
      <c r="CU44" s="580"/>
      <c r="CV44" s="580"/>
      <c r="CW44" s="580"/>
      <c r="CX44" s="580"/>
      <c r="CY44" s="580"/>
      <c r="CZ44" s="580"/>
      <c r="DA44" s="580"/>
      <c r="DB44" s="580"/>
      <c r="DC44" s="580"/>
      <c r="DD44" s="580"/>
      <c r="DE44" s="580"/>
      <c r="DF44" s="580"/>
      <c r="DG44" s="580"/>
      <c r="DH44" s="580"/>
      <c r="DI44" s="580"/>
      <c r="DJ44" s="580"/>
      <c r="DK44" s="580"/>
      <c r="DL44" s="580"/>
      <c r="DM44" s="580"/>
      <c r="DN44" s="580"/>
      <c r="DO44" s="580"/>
      <c r="DP44" s="580"/>
      <c r="DQ44" s="580"/>
      <c r="DR44" s="580"/>
      <c r="DS44" s="580"/>
      <c r="DT44" s="580"/>
      <c r="DU44" s="580"/>
      <c r="DV44" s="580"/>
      <c r="DW44" s="580"/>
      <c r="DX44" s="580"/>
      <c r="DY44" s="585"/>
    </row>
    <row r="45" spans="1:130" ht="25.05" customHeight="1" x14ac:dyDescent="0.4">
      <c r="A45" s="578">
        <v>11</v>
      </c>
      <c r="B45" s="579"/>
      <c r="C45" s="579"/>
      <c r="D45" s="579"/>
      <c r="E45" s="580"/>
      <c r="F45" s="580"/>
      <c r="G45" s="580"/>
      <c r="H45" s="580"/>
      <c r="I45" s="580"/>
      <c r="J45" s="580"/>
      <c r="K45" s="580"/>
      <c r="L45" s="580"/>
      <c r="M45" s="580"/>
      <c r="N45" s="580"/>
      <c r="O45" s="580"/>
      <c r="P45" s="580"/>
      <c r="Q45" s="580"/>
      <c r="R45" s="581"/>
      <c r="S45" s="581"/>
      <c r="T45" s="581"/>
      <c r="U45" s="581"/>
      <c r="V45" s="581"/>
      <c r="W45" s="581"/>
      <c r="X45" s="581"/>
      <c r="Y45" s="581"/>
      <c r="Z45" s="581"/>
      <c r="AA45" s="580"/>
      <c r="AB45" s="580"/>
      <c r="AC45" s="580"/>
      <c r="AD45" s="580"/>
      <c r="AE45" s="580"/>
      <c r="AF45" s="580"/>
      <c r="AG45" s="580"/>
      <c r="AH45" s="580"/>
      <c r="AI45" s="580"/>
      <c r="AJ45" s="580"/>
      <c r="AK45" s="580"/>
      <c r="AL45" s="580"/>
      <c r="AM45" s="580"/>
      <c r="AN45" s="580"/>
      <c r="AO45" s="580"/>
      <c r="AP45" s="580"/>
      <c r="AQ45" s="580"/>
      <c r="AR45" s="580"/>
      <c r="AS45" s="580"/>
      <c r="AT45" s="580"/>
      <c r="AU45" s="580"/>
      <c r="AV45" s="580"/>
      <c r="AW45" s="580"/>
      <c r="AX45" s="580"/>
      <c r="AY45" s="580"/>
      <c r="AZ45" s="580"/>
      <c r="BA45" s="580"/>
      <c r="BB45" s="580"/>
      <c r="BC45" s="580"/>
      <c r="BD45" s="583"/>
      <c r="BE45" s="583"/>
      <c r="BF45" s="583"/>
      <c r="BG45" s="583"/>
      <c r="BH45" s="583"/>
      <c r="BI45" s="583"/>
      <c r="BJ45" s="583"/>
      <c r="BK45" s="583"/>
      <c r="BL45" s="583"/>
      <c r="BM45" s="583"/>
      <c r="BN45" s="583"/>
      <c r="BO45" s="583"/>
      <c r="BP45" s="583"/>
      <c r="BQ45" s="583"/>
      <c r="BR45" s="583"/>
      <c r="BS45" s="583"/>
      <c r="BT45" s="583"/>
      <c r="BU45" s="583"/>
      <c r="BV45" s="583"/>
      <c r="BW45" s="583"/>
      <c r="BX45" s="584"/>
      <c r="BY45" s="584"/>
      <c r="BZ45" s="584"/>
      <c r="CA45" s="584"/>
      <c r="CB45" s="584"/>
      <c r="CC45" s="584"/>
      <c r="CD45" s="584"/>
      <c r="CE45" s="584"/>
      <c r="CF45" s="584"/>
      <c r="CG45" s="584"/>
      <c r="CH45" s="584"/>
      <c r="CI45" s="584"/>
      <c r="CJ45" s="584"/>
      <c r="CK45" s="584"/>
      <c r="CL45" s="584"/>
      <c r="CM45" s="584"/>
      <c r="CN45" s="584"/>
      <c r="CO45" s="584"/>
      <c r="CP45" s="584"/>
      <c r="CQ45" s="584"/>
      <c r="CR45" s="580"/>
      <c r="CS45" s="580"/>
      <c r="CT45" s="580"/>
      <c r="CU45" s="580"/>
      <c r="CV45" s="580"/>
      <c r="CW45" s="580"/>
      <c r="CX45" s="580"/>
      <c r="CY45" s="580"/>
      <c r="CZ45" s="580"/>
      <c r="DA45" s="580"/>
      <c r="DB45" s="580"/>
      <c r="DC45" s="580"/>
      <c r="DD45" s="580"/>
      <c r="DE45" s="580"/>
      <c r="DF45" s="580"/>
      <c r="DG45" s="580"/>
      <c r="DH45" s="580"/>
      <c r="DI45" s="580"/>
      <c r="DJ45" s="580"/>
      <c r="DK45" s="580"/>
      <c r="DL45" s="580"/>
      <c r="DM45" s="580"/>
      <c r="DN45" s="580"/>
      <c r="DO45" s="580"/>
      <c r="DP45" s="580"/>
      <c r="DQ45" s="580"/>
      <c r="DR45" s="580"/>
      <c r="DS45" s="580"/>
      <c r="DT45" s="580"/>
      <c r="DU45" s="580"/>
      <c r="DV45" s="580"/>
      <c r="DW45" s="580"/>
      <c r="DX45" s="580"/>
      <c r="DY45" s="585"/>
    </row>
    <row r="46" spans="1:130" ht="25.05" customHeight="1" x14ac:dyDescent="0.4">
      <c r="A46" s="578">
        <v>12</v>
      </c>
      <c r="B46" s="579"/>
      <c r="C46" s="579"/>
      <c r="D46" s="579"/>
      <c r="E46" s="580"/>
      <c r="F46" s="580"/>
      <c r="G46" s="580"/>
      <c r="H46" s="580"/>
      <c r="I46" s="580"/>
      <c r="J46" s="580"/>
      <c r="K46" s="580"/>
      <c r="L46" s="580"/>
      <c r="M46" s="580"/>
      <c r="N46" s="580"/>
      <c r="O46" s="580"/>
      <c r="P46" s="580"/>
      <c r="Q46" s="580"/>
      <c r="R46" s="581"/>
      <c r="S46" s="581"/>
      <c r="T46" s="581"/>
      <c r="U46" s="581"/>
      <c r="V46" s="581"/>
      <c r="W46" s="581"/>
      <c r="X46" s="581"/>
      <c r="Y46" s="581"/>
      <c r="Z46" s="581"/>
      <c r="AA46" s="580"/>
      <c r="AB46" s="580"/>
      <c r="AC46" s="580"/>
      <c r="AD46" s="580"/>
      <c r="AE46" s="580"/>
      <c r="AF46" s="580"/>
      <c r="AG46" s="580"/>
      <c r="AH46" s="580"/>
      <c r="AI46" s="580"/>
      <c r="AJ46" s="580"/>
      <c r="AK46" s="580"/>
      <c r="AL46" s="580"/>
      <c r="AM46" s="580"/>
      <c r="AN46" s="580"/>
      <c r="AO46" s="580"/>
      <c r="AP46" s="580"/>
      <c r="AQ46" s="580"/>
      <c r="AR46" s="580"/>
      <c r="AS46" s="580"/>
      <c r="AT46" s="580"/>
      <c r="AU46" s="580"/>
      <c r="AV46" s="580"/>
      <c r="AW46" s="580"/>
      <c r="AX46" s="580"/>
      <c r="AY46" s="580"/>
      <c r="AZ46" s="580"/>
      <c r="BA46" s="580"/>
      <c r="BB46" s="580"/>
      <c r="BC46" s="580"/>
      <c r="BD46" s="583"/>
      <c r="BE46" s="583"/>
      <c r="BF46" s="583"/>
      <c r="BG46" s="583"/>
      <c r="BH46" s="583"/>
      <c r="BI46" s="583"/>
      <c r="BJ46" s="583"/>
      <c r="BK46" s="583"/>
      <c r="BL46" s="583"/>
      <c r="BM46" s="583"/>
      <c r="BN46" s="583"/>
      <c r="BO46" s="583"/>
      <c r="BP46" s="583"/>
      <c r="BQ46" s="583"/>
      <c r="BR46" s="583"/>
      <c r="BS46" s="583"/>
      <c r="BT46" s="583"/>
      <c r="BU46" s="583"/>
      <c r="BV46" s="583"/>
      <c r="BW46" s="583"/>
      <c r="BX46" s="584"/>
      <c r="BY46" s="584"/>
      <c r="BZ46" s="584"/>
      <c r="CA46" s="584"/>
      <c r="CB46" s="584"/>
      <c r="CC46" s="584"/>
      <c r="CD46" s="584"/>
      <c r="CE46" s="584"/>
      <c r="CF46" s="584"/>
      <c r="CG46" s="584"/>
      <c r="CH46" s="584"/>
      <c r="CI46" s="584"/>
      <c r="CJ46" s="584"/>
      <c r="CK46" s="584"/>
      <c r="CL46" s="584"/>
      <c r="CM46" s="584"/>
      <c r="CN46" s="584"/>
      <c r="CO46" s="584"/>
      <c r="CP46" s="584"/>
      <c r="CQ46" s="584"/>
      <c r="CR46" s="580"/>
      <c r="CS46" s="580"/>
      <c r="CT46" s="580"/>
      <c r="CU46" s="580"/>
      <c r="CV46" s="580"/>
      <c r="CW46" s="580"/>
      <c r="CX46" s="580"/>
      <c r="CY46" s="580"/>
      <c r="CZ46" s="580"/>
      <c r="DA46" s="580"/>
      <c r="DB46" s="580"/>
      <c r="DC46" s="580"/>
      <c r="DD46" s="580"/>
      <c r="DE46" s="580"/>
      <c r="DF46" s="580"/>
      <c r="DG46" s="580"/>
      <c r="DH46" s="580"/>
      <c r="DI46" s="580"/>
      <c r="DJ46" s="580"/>
      <c r="DK46" s="580"/>
      <c r="DL46" s="580"/>
      <c r="DM46" s="580"/>
      <c r="DN46" s="580"/>
      <c r="DO46" s="580"/>
      <c r="DP46" s="580"/>
      <c r="DQ46" s="580"/>
      <c r="DR46" s="580"/>
      <c r="DS46" s="580"/>
      <c r="DT46" s="580"/>
      <c r="DU46" s="580"/>
      <c r="DV46" s="580"/>
      <c r="DW46" s="580"/>
      <c r="DX46" s="580"/>
      <c r="DY46" s="585"/>
    </row>
    <row r="47" spans="1:130" ht="25.05" customHeight="1" x14ac:dyDescent="0.4">
      <c r="A47" s="578">
        <v>13</v>
      </c>
      <c r="B47" s="579"/>
      <c r="C47" s="579"/>
      <c r="D47" s="579"/>
      <c r="E47" s="580"/>
      <c r="F47" s="580"/>
      <c r="G47" s="580"/>
      <c r="H47" s="580"/>
      <c r="I47" s="580"/>
      <c r="J47" s="580"/>
      <c r="K47" s="580"/>
      <c r="L47" s="580"/>
      <c r="M47" s="580"/>
      <c r="N47" s="580"/>
      <c r="O47" s="580"/>
      <c r="P47" s="580"/>
      <c r="Q47" s="580"/>
      <c r="R47" s="581"/>
      <c r="S47" s="581"/>
      <c r="T47" s="581"/>
      <c r="U47" s="581"/>
      <c r="V47" s="581"/>
      <c r="W47" s="581"/>
      <c r="X47" s="581"/>
      <c r="Y47" s="581"/>
      <c r="Z47" s="581"/>
      <c r="AA47" s="580"/>
      <c r="AB47" s="580"/>
      <c r="AC47" s="580"/>
      <c r="AD47" s="580"/>
      <c r="AE47" s="580"/>
      <c r="AF47" s="580"/>
      <c r="AG47" s="580"/>
      <c r="AH47" s="580"/>
      <c r="AI47" s="580"/>
      <c r="AJ47" s="580"/>
      <c r="AK47" s="580"/>
      <c r="AL47" s="580"/>
      <c r="AM47" s="580"/>
      <c r="AN47" s="580"/>
      <c r="AO47" s="580"/>
      <c r="AP47" s="580"/>
      <c r="AQ47" s="580"/>
      <c r="AR47" s="580"/>
      <c r="AS47" s="580"/>
      <c r="AT47" s="580"/>
      <c r="AU47" s="580"/>
      <c r="AV47" s="580"/>
      <c r="AW47" s="580"/>
      <c r="AX47" s="580"/>
      <c r="AY47" s="580"/>
      <c r="AZ47" s="580"/>
      <c r="BA47" s="580"/>
      <c r="BB47" s="580"/>
      <c r="BC47" s="580"/>
      <c r="BD47" s="583"/>
      <c r="BE47" s="583"/>
      <c r="BF47" s="583"/>
      <c r="BG47" s="583"/>
      <c r="BH47" s="583"/>
      <c r="BI47" s="583"/>
      <c r="BJ47" s="583"/>
      <c r="BK47" s="583"/>
      <c r="BL47" s="583"/>
      <c r="BM47" s="583"/>
      <c r="BN47" s="583"/>
      <c r="BO47" s="583"/>
      <c r="BP47" s="583"/>
      <c r="BQ47" s="583"/>
      <c r="BR47" s="583"/>
      <c r="BS47" s="583"/>
      <c r="BT47" s="583"/>
      <c r="BU47" s="583"/>
      <c r="BV47" s="583"/>
      <c r="BW47" s="583"/>
      <c r="BX47" s="584"/>
      <c r="BY47" s="584"/>
      <c r="BZ47" s="584"/>
      <c r="CA47" s="584"/>
      <c r="CB47" s="584"/>
      <c r="CC47" s="584"/>
      <c r="CD47" s="584"/>
      <c r="CE47" s="584"/>
      <c r="CF47" s="584"/>
      <c r="CG47" s="584"/>
      <c r="CH47" s="584"/>
      <c r="CI47" s="584"/>
      <c r="CJ47" s="584"/>
      <c r="CK47" s="584"/>
      <c r="CL47" s="584"/>
      <c r="CM47" s="584"/>
      <c r="CN47" s="584"/>
      <c r="CO47" s="584"/>
      <c r="CP47" s="584"/>
      <c r="CQ47" s="584"/>
      <c r="CR47" s="580"/>
      <c r="CS47" s="580"/>
      <c r="CT47" s="580"/>
      <c r="CU47" s="580"/>
      <c r="CV47" s="580"/>
      <c r="CW47" s="580"/>
      <c r="CX47" s="580"/>
      <c r="CY47" s="580"/>
      <c r="CZ47" s="580"/>
      <c r="DA47" s="580"/>
      <c r="DB47" s="580"/>
      <c r="DC47" s="580"/>
      <c r="DD47" s="580"/>
      <c r="DE47" s="580"/>
      <c r="DF47" s="580"/>
      <c r="DG47" s="580"/>
      <c r="DH47" s="580"/>
      <c r="DI47" s="580"/>
      <c r="DJ47" s="580"/>
      <c r="DK47" s="580"/>
      <c r="DL47" s="580"/>
      <c r="DM47" s="580"/>
      <c r="DN47" s="580"/>
      <c r="DO47" s="580"/>
      <c r="DP47" s="580"/>
      <c r="DQ47" s="580"/>
      <c r="DR47" s="580"/>
      <c r="DS47" s="580"/>
      <c r="DT47" s="580"/>
      <c r="DU47" s="580"/>
      <c r="DV47" s="580"/>
      <c r="DW47" s="580"/>
      <c r="DX47" s="580"/>
      <c r="DY47" s="585"/>
    </row>
    <row r="48" spans="1:130" s="328" customFormat="1" ht="25.05" customHeight="1" x14ac:dyDescent="0.4">
      <c r="A48" s="578">
        <v>14</v>
      </c>
      <c r="B48" s="579"/>
      <c r="C48" s="579"/>
      <c r="D48" s="579"/>
      <c r="E48" s="580"/>
      <c r="F48" s="580"/>
      <c r="G48" s="580"/>
      <c r="H48" s="580"/>
      <c r="I48" s="580"/>
      <c r="J48" s="580"/>
      <c r="K48" s="580"/>
      <c r="L48" s="580"/>
      <c r="M48" s="580"/>
      <c r="N48" s="580"/>
      <c r="O48" s="580"/>
      <c r="P48" s="580"/>
      <c r="Q48" s="580"/>
      <c r="R48" s="581"/>
      <c r="S48" s="581"/>
      <c r="T48" s="581"/>
      <c r="U48" s="581"/>
      <c r="V48" s="581"/>
      <c r="W48" s="581"/>
      <c r="X48" s="581"/>
      <c r="Y48" s="581"/>
      <c r="Z48" s="581"/>
      <c r="AA48" s="580"/>
      <c r="AB48" s="580"/>
      <c r="AC48" s="580"/>
      <c r="AD48" s="580"/>
      <c r="AE48" s="580"/>
      <c r="AF48" s="580"/>
      <c r="AG48" s="580"/>
      <c r="AH48" s="580"/>
      <c r="AI48" s="580"/>
      <c r="AJ48" s="580"/>
      <c r="AK48" s="580"/>
      <c r="AL48" s="580"/>
      <c r="AM48" s="580"/>
      <c r="AN48" s="580"/>
      <c r="AO48" s="580"/>
      <c r="AP48" s="580"/>
      <c r="AQ48" s="580"/>
      <c r="AR48" s="580"/>
      <c r="AS48" s="580"/>
      <c r="AT48" s="580"/>
      <c r="AU48" s="580"/>
      <c r="AV48" s="580"/>
      <c r="AW48" s="580"/>
      <c r="AX48" s="580"/>
      <c r="AY48" s="580"/>
      <c r="AZ48" s="580"/>
      <c r="BA48" s="580"/>
      <c r="BB48" s="580"/>
      <c r="BC48" s="580"/>
      <c r="BD48" s="583"/>
      <c r="BE48" s="583"/>
      <c r="BF48" s="583"/>
      <c r="BG48" s="583"/>
      <c r="BH48" s="583"/>
      <c r="BI48" s="583"/>
      <c r="BJ48" s="583"/>
      <c r="BK48" s="583"/>
      <c r="BL48" s="583"/>
      <c r="BM48" s="583"/>
      <c r="BN48" s="583"/>
      <c r="BO48" s="583"/>
      <c r="BP48" s="583"/>
      <c r="BQ48" s="583"/>
      <c r="BR48" s="583"/>
      <c r="BS48" s="583"/>
      <c r="BT48" s="583"/>
      <c r="BU48" s="583"/>
      <c r="BV48" s="583"/>
      <c r="BW48" s="583"/>
      <c r="BX48" s="584"/>
      <c r="BY48" s="584"/>
      <c r="BZ48" s="584"/>
      <c r="CA48" s="584"/>
      <c r="CB48" s="584"/>
      <c r="CC48" s="584"/>
      <c r="CD48" s="584"/>
      <c r="CE48" s="584"/>
      <c r="CF48" s="584"/>
      <c r="CG48" s="584"/>
      <c r="CH48" s="584"/>
      <c r="CI48" s="584"/>
      <c r="CJ48" s="584"/>
      <c r="CK48" s="584"/>
      <c r="CL48" s="584"/>
      <c r="CM48" s="584"/>
      <c r="CN48" s="584"/>
      <c r="CO48" s="584"/>
      <c r="CP48" s="584"/>
      <c r="CQ48" s="584"/>
      <c r="CR48" s="580"/>
      <c r="CS48" s="580"/>
      <c r="CT48" s="580"/>
      <c r="CU48" s="580"/>
      <c r="CV48" s="580"/>
      <c r="CW48" s="580"/>
      <c r="CX48" s="580"/>
      <c r="CY48" s="580"/>
      <c r="CZ48" s="580"/>
      <c r="DA48" s="580"/>
      <c r="DB48" s="580"/>
      <c r="DC48" s="580"/>
      <c r="DD48" s="580"/>
      <c r="DE48" s="580"/>
      <c r="DF48" s="580"/>
      <c r="DG48" s="580"/>
      <c r="DH48" s="580"/>
      <c r="DI48" s="580"/>
      <c r="DJ48" s="580"/>
      <c r="DK48" s="580"/>
      <c r="DL48" s="580"/>
      <c r="DM48" s="580"/>
      <c r="DN48" s="580"/>
      <c r="DO48" s="580"/>
      <c r="DP48" s="580"/>
      <c r="DQ48" s="580"/>
      <c r="DR48" s="580"/>
      <c r="DS48" s="580"/>
      <c r="DT48" s="580"/>
      <c r="DU48" s="580"/>
      <c r="DV48" s="580"/>
      <c r="DW48" s="580"/>
      <c r="DX48" s="580"/>
      <c r="DY48" s="585"/>
      <c r="DZ48" s="322"/>
    </row>
    <row r="49" spans="1:139" ht="25.05" hidden="1" customHeight="1" x14ac:dyDescent="0.4">
      <c r="A49" s="578">
        <v>15</v>
      </c>
      <c r="B49" s="579"/>
      <c r="C49" s="579"/>
      <c r="D49" s="579"/>
      <c r="E49" s="587"/>
      <c r="F49" s="587"/>
      <c r="G49" s="587"/>
      <c r="H49" s="587"/>
      <c r="I49" s="587"/>
      <c r="J49" s="587"/>
      <c r="K49" s="587"/>
      <c r="L49" s="587"/>
      <c r="M49" s="587"/>
      <c r="N49" s="587"/>
      <c r="O49" s="587"/>
      <c r="P49" s="587"/>
      <c r="Q49" s="587"/>
      <c r="R49" s="587"/>
      <c r="S49" s="587"/>
      <c r="T49" s="587"/>
      <c r="U49" s="587"/>
      <c r="V49" s="587"/>
      <c r="W49" s="587"/>
      <c r="X49" s="587"/>
      <c r="Y49" s="587"/>
      <c r="Z49" s="587"/>
      <c r="AA49" s="587"/>
      <c r="AB49" s="587"/>
      <c r="AC49" s="587"/>
      <c r="AD49" s="587"/>
      <c r="AE49" s="587"/>
      <c r="AF49" s="587"/>
      <c r="AG49" s="587"/>
      <c r="AH49" s="587"/>
      <c r="AI49" s="587"/>
      <c r="AJ49" s="587"/>
      <c r="AK49" s="587"/>
      <c r="AL49" s="587"/>
      <c r="AM49" s="587"/>
      <c r="AN49" s="587"/>
      <c r="AO49" s="587"/>
      <c r="AP49" s="587"/>
      <c r="AQ49" s="587"/>
      <c r="AR49" s="587"/>
      <c r="AS49" s="587"/>
      <c r="AT49" s="587"/>
      <c r="AU49" s="587"/>
      <c r="AV49" s="587"/>
      <c r="AW49" s="587"/>
      <c r="AX49" s="587"/>
      <c r="AY49" s="587"/>
      <c r="AZ49" s="587"/>
      <c r="BA49" s="587"/>
      <c r="BB49" s="587"/>
      <c r="BC49" s="587"/>
      <c r="BD49" s="588"/>
      <c r="BE49" s="588"/>
      <c r="BF49" s="588"/>
      <c r="BG49" s="588"/>
      <c r="BH49" s="588"/>
      <c r="BI49" s="588"/>
      <c r="BJ49" s="588"/>
      <c r="BK49" s="588"/>
      <c r="BL49" s="588"/>
      <c r="BM49" s="588"/>
      <c r="BN49" s="588"/>
      <c r="BO49" s="588"/>
      <c r="BP49" s="588"/>
      <c r="BQ49" s="588"/>
      <c r="BR49" s="588"/>
      <c r="BS49" s="588"/>
      <c r="BT49" s="588"/>
      <c r="BU49" s="588"/>
      <c r="BV49" s="588"/>
      <c r="BW49" s="588"/>
      <c r="BX49" s="338"/>
      <c r="BY49" s="338"/>
      <c r="BZ49" s="338"/>
      <c r="CA49" s="338"/>
      <c r="CB49" s="338"/>
      <c r="CC49" s="338"/>
      <c r="CD49" s="338"/>
      <c r="CE49" s="338"/>
      <c r="CF49" s="338"/>
      <c r="CG49" s="338"/>
      <c r="CH49" s="338"/>
      <c r="CI49" s="338"/>
      <c r="CJ49" s="338"/>
      <c r="CK49" s="339"/>
      <c r="CL49" s="339"/>
      <c r="CM49" s="339"/>
      <c r="CN49" s="339"/>
      <c r="CO49" s="339"/>
      <c r="CP49" s="339"/>
      <c r="CQ49" s="339"/>
      <c r="CR49" s="332"/>
      <c r="CS49" s="332"/>
      <c r="CT49" s="332"/>
      <c r="CU49" s="332"/>
      <c r="CV49" s="332"/>
      <c r="CW49" s="332"/>
      <c r="CX49" s="341"/>
      <c r="CY49" s="341"/>
      <c r="CZ49" s="341"/>
      <c r="DA49" s="341"/>
      <c r="DB49" s="341"/>
      <c r="DC49" s="341"/>
      <c r="DD49" s="341"/>
      <c r="DE49" s="341"/>
      <c r="DF49" s="341"/>
      <c r="DG49" s="341"/>
      <c r="DH49" s="341"/>
      <c r="DI49" s="341"/>
      <c r="DJ49" s="341"/>
      <c r="DK49" s="341"/>
      <c r="DL49" s="341"/>
      <c r="DM49" s="341"/>
      <c r="DN49" s="341"/>
      <c r="DO49" s="341"/>
      <c r="DP49" s="341"/>
      <c r="DQ49" s="341"/>
      <c r="DR49" s="341"/>
      <c r="DS49" s="341"/>
      <c r="DT49" s="341"/>
      <c r="DU49" s="341"/>
      <c r="DV49" s="341"/>
      <c r="DW49" s="341"/>
      <c r="DX49" s="341"/>
      <c r="DY49" s="342"/>
      <c r="EA49" s="589"/>
      <c r="EB49" s="589"/>
      <c r="EC49" s="589"/>
      <c r="ED49" s="589"/>
      <c r="EE49" s="589"/>
      <c r="EF49" s="589"/>
      <c r="EG49" s="589"/>
      <c r="EH49" s="589"/>
      <c r="EI49" s="589"/>
    </row>
    <row r="50" spans="1:139" ht="25.05" hidden="1" customHeight="1" thickBot="1" x14ac:dyDescent="0.45">
      <c r="A50" s="578">
        <v>16</v>
      </c>
      <c r="B50" s="579"/>
      <c r="C50" s="579"/>
      <c r="D50" s="579"/>
      <c r="E50" s="587"/>
      <c r="F50" s="587"/>
      <c r="G50" s="587"/>
      <c r="H50" s="587"/>
      <c r="I50" s="587"/>
      <c r="J50" s="587"/>
      <c r="K50" s="587"/>
      <c r="L50" s="587"/>
      <c r="M50" s="587"/>
      <c r="N50" s="587"/>
      <c r="O50" s="587"/>
      <c r="P50" s="587"/>
      <c r="Q50" s="587"/>
      <c r="R50" s="587"/>
      <c r="S50" s="587"/>
      <c r="T50" s="587"/>
      <c r="U50" s="587"/>
      <c r="V50" s="587"/>
      <c r="W50" s="587"/>
      <c r="X50" s="587"/>
      <c r="Y50" s="587"/>
      <c r="Z50" s="587"/>
      <c r="AA50" s="587"/>
      <c r="AB50" s="587"/>
      <c r="AC50" s="587"/>
      <c r="AD50" s="587"/>
      <c r="AE50" s="587"/>
      <c r="AF50" s="587"/>
      <c r="AG50" s="587"/>
      <c r="AH50" s="587"/>
      <c r="AI50" s="587"/>
      <c r="AJ50" s="587"/>
      <c r="AK50" s="587"/>
      <c r="AL50" s="587"/>
      <c r="AM50" s="587"/>
      <c r="AN50" s="587"/>
      <c r="AO50" s="587"/>
      <c r="AP50" s="587"/>
      <c r="AQ50" s="587"/>
      <c r="AR50" s="587"/>
      <c r="AS50" s="587"/>
      <c r="AT50" s="587"/>
      <c r="AU50" s="587"/>
      <c r="AV50" s="587"/>
      <c r="AW50" s="587"/>
      <c r="AX50" s="587"/>
      <c r="AY50" s="587"/>
      <c r="AZ50" s="587"/>
      <c r="BA50" s="587"/>
      <c r="BB50" s="587"/>
      <c r="BC50" s="587"/>
      <c r="BD50" s="588"/>
      <c r="BE50" s="588"/>
      <c r="BF50" s="588"/>
      <c r="BG50" s="588"/>
      <c r="BH50" s="588"/>
      <c r="BI50" s="588"/>
      <c r="BJ50" s="588"/>
      <c r="BK50" s="588"/>
      <c r="BL50" s="588"/>
      <c r="BM50" s="588"/>
      <c r="BN50" s="588"/>
      <c r="BO50" s="588"/>
      <c r="BP50" s="588"/>
      <c r="BQ50" s="588"/>
      <c r="BR50" s="588"/>
      <c r="BS50" s="588"/>
      <c r="BT50" s="588"/>
      <c r="BU50" s="588"/>
      <c r="BV50" s="588"/>
      <c r="BW50" s="588"/>
      <c r="BX50" s="338"/>
      <c r="BY50" s="338"/>
      <c r="BZ50" s="338"/>
      <c r="CA50" s="338"/>
      <c r="CB50" s="338"/>
      <c r="CC50" s="338"/>
      <c r="CD50" s="338"/>
      <c r="CE50" s="338"/>
      <c r="CF50" s="338"/>
      <c r="CG50" s="338"/>
      <c r="CH50" s="338"/>
      <c r="CI50" s="338"/>
      <c r="CJ50" s="338"/>
      <c r="CK50" s="339"/>
      <c r="CL50" s="339"/>
      <c r="CM50" s="339"/>
      <c r="CN50" s="339"/>
      <c r="CO50" s="339"/>
      <c r="CP50" s="339"/>
      <c r="CQ50" s="339"/>
      <c r="CR50" s="332"/>
      <c r="CS50" s="332"/>
      <c r="CT50" s="332"/>
      <c r="CU50" s="332"/>
      <c r="CV50" s="332"/>
      <c r="CW50" s="332"/>
      <c r="CX50" s="341"/>
      <c r="CY50" s="341"/>
      <c r="CZ50" s="341"/>
      <c r="DA50" s="341"/>
      <c r="DB50" s="341"/>
      <c r="DC50" s="341"/>
      <c r="DD50" s="341"/>
      <c r="DE50" s="341"/>
      <c r="DF50" s="341"/>
      <c r="DG50" s="341"/>
      <c r="DH50" s="341"/>
      <c r="DI50" s="341"/>
      <c r="DJ50" s="341"/>
      <c r="DK50" s="341"/>
      <c r="DL50" s="341"/>
      <c r="DM50" s="341"/>
      <c r="DN50" s="341"/>
      <c r="DO50" s="341"/>
      <c r="DP50" s="341"/>
      <c r="DQ50" s="341"/>
      <c r="DR50" s="341"/>
      <c r="DS50" s="341"/>
      <c r="DT50" s="341"/>
      <c r="DU50" s="341"/>
      <c r="DV50" s="341"/>
      <c r="DW50" s="341"/>
      <c r="DX50" s="341"/>
      <c r="DY50" s="342"/>
    </row>
    <row r="51" spans="1:139" ht="25.05" hidden="1" customHeight="1" thickBot="1" x14ac:dyDescent="0.45">
      <c r="A51" s="578">
        <v>17</v>
      </c>
      <c r="B51" s="579"/>
      <c r="C51" s="579"/>
      <c r="D51" s="579"/>
      <c r="E51" s="587"/>
      <c r="F51" s="587"/>
      <c r="G51" s="587"/>
      <c r="H51" s="587"/>
      <c r="I51" s="587"/>
      <c r="J51" s="587"/>
      <c r="K51" s="587"/>
      <c r="L51" s="587"/>
      <c r="M51" s="587"/>
      <c r="N51" s="587"/>
      <c r="O51" s="587"/>
      <c r="P51" s="587"/>
      <c r="Q51" s="587"/>
      <c r="R51" s="587"/>
      <c r="S51" s="587"/>
      <c r="T51" s="587"/>
      <c r="U51" s="587"/>
      <c r="V51" s="587"/>
      <c r="W51" s="587"/>
      <c r="X51" s="587"/>
      <c r="Y51" s="587"/>
      <c r="Z51" s="587"/>
      <c r="AA51" s="587"/>
      <c r="AB51" s="587"/>
      <c r="AC51" s="587"/>
      <c r="AD51" s="587"/>
      <c r="AE51" s="587"/>
      <c r="AF51" s="587"/>
      <c r="AG51" s="587"/>
      <c r="AH51" s="587"/>
      <c r="AI51" s="587"/>
      <c r="AJ51" s="587"/>
      <c r="AK51" s="587"/>
      <c r="AL51" s="587"/>
      <c r="AM51" s="587"/>
      <c r="AN51" s="587"/>
      <c r="AO51" s="587"/>
      <c r="AP51" s="587"/>
      <c r="AQ51" s="587"/>
      <c r="AR51" s="587"/>
      <c r="AS51" s="587"/>
      <c r="AT51" s="587"/>
      <c r="AU51" s="587"/>
      <c r="AV51" s="587"/>
      <c r="AW51" s="587"/>
      <c r="AX51" s="587"/>
      <c r="AY51" s="587"/>
      <c r="AZ51" s="587"/>
      <c r="BA51" s="587"/>
      <c r="BB51" s="587"/>
      <c r="BC51" s="587"/>
      <c r="BD51" s="588"/>
      <c r="BE51" s="588"/>
      <c r="BF51" s="588"/>
      <c r="BG51" s="588"/>
      <c r="BH51" s="588"/>
      <c r="BI51" s="588"/>
      <c r="BJ51" s="588"/>
      <c r="BK51" s="588"/>
      <c r="BL51" s="588"/>
      <c r="BM51" s="588"/>
      <c r="BN51" s="588"/>
      <c r="BO51" s="588"/>
      <c r="BP51" s="588"/>
      <c r="BQ51" s="588"/>
      <c r="BR51" s="588"/>
      <c r="BS51" s="588"/>
      <c r="BT51" s="588"/>
      <c r="BU51" s="588"/>
      <c r="BV51" s="588"/>
      <c r="BW51" s="588"/>
      <c r="BX51" s="338"/>
      <c r="BY51" s="338"/>
      <c r="BZ51" s="338"/>
      <c r="CA51" s="338"/>
      <c r="CB51" s="338"/>
      <c r="CC51" s="338"/>
      <c r="CD51" s="338"/>
      <c r="CE51" s="338"/>
      <c r="CF51" s="338"/>
      <c r="CG51" s="338"/>
      <c r="CH51" s="338"/>
      <c r="CI51" s="338"/>
      <c r="CJ51" s="338"/>
      <c r="CK51" s="339"/>
      <c r="CL51" s="339"/>
      <c r="CM51" s="339"/>
      <c r="CN51" s="339"/>
      <c r="CO51" s="339"/>
      <c r="CP51" s="339"/>
      <c r="CQ51" s="339"/>
      <c r="CR51" s="332"/>
      <c r="CS51" s="332"/>
      <c r="CT51" s="332"/>
      <c r="CU51" s="332"/>
      <c r="CV51" s="332"/>
      <c r="CW51" s="332"/>
      <c r="CX51" s="341"/>
      <c r="CY51" s="341"/>
      <c r="CZ51" s="341"/>
      <c r="DA51" s="341"/>
      <c r="DB51" s="341"/>
      <c r="DC51" s="341"/>
      <c r="DD51" s="341"/>
      <c r="DE51" s="341"/>
      <c r="DF51" s="341"/>
      <c r="DG51" s="341"/>
      <c r="DH51" s="341"/>
      <c r="DI51" s="341"/>
      <c r="DJ51" s="341"/>
      <c r="DK51" s="341"/>
      <c r="DL51" s="341"/>
      <c r="DM51" s="341"/>
      <c r="DN51" s="341"/>
      <c r="DO51" s="341"/>
      <c r="DP51" s="341"/>
      <c r="DQ51" s="341"/>
      <c r="DR51" s="341"/>
      <c r="DS51" s="341"/>
      <c r="DT51" s="341"/>
      <c r="DU51" s="341"/>
      <c r="DV51" s="341"/>
      <c r="DW51" s="341"/>
      <c r="DX51" s="341"/>
      <c r="DY51" s="342"/>
    </row>
    <row r="52" spans="1:139" ht="25.05" customHeight="1" thickBot="1" x14ac:dyDescent="0.45">
      <c r="A52" s="595" t="s">
        <v>514</v>
      </c>
      <c r="B52" s="590"/>
      <c r="C52" s="590"/>
      <c r="D52" s="590"/>
      <c r="E52" s="590"/>
      <c r="F52" s="590"/>
      <c r="G52" s="590"/>
      <c r="H52" s="590"/>
      <c r="I52" s="590"/>
      <c r="J52" s="590"/>
      <c r="K52" s="590"/>
      <c r="L52" s="590"/>
      <c r="M52" s="590"/>
      <c r="N52" s="590"/>
      <c r="O52" s="590"/>
      <c r="P52" s="590"/>
      <c r="Q52" s="590"/>
      <c r="R52" s="589"/>
      <c r="S52" s="589"/>
      <c r="T52" s="589"/>
      <c r="U52" s="589"/>
      <c r="V52" s="589"/>
      <c r="W52" s="589"/>
      <c r="X52" s="589"/>
      <c r="Y52" s="589"/>
      <c r="Z52" s="589"/>
      <c r="AA52" s="596"/>
      <c r="AB52" s="596"/>
      <c r="AC52" s="596"/>
      <c r="AD52" s="596"/>
      <c r="AE52" s="596"/>
      <c r="AF52" s="596"/>
      <c r="AG52" s="596"/>
      <c r="AH52" s="596"/>
      <c r="AI52" s="596"/>
      <c r="AJ52" s="589"/>
      <c r="AK52" s="589"/>
      <c r="AL52" s="589"/>
      <c r="AM52" s="589"/>
      <c r="AN52" s="589"/>
      <c r="AO52" s="589"/>
      <c r="AP52" s="589"/>
      <c r="AQ52" s="589"/>
      <c r="AR52" s="589"/>
      <c r="AS52" s="589"/>
      <c r="AT52" s="589"/>
      <c r="AU52" s="589"/>
      <c r="AV52" s="589"/>
      <c r="AW52" s="589"/>
      <c r="AX52" s="589"/>
      <c r="AY52" s="589"/>
      <c r="AZ52" s="589"/>
      <c r="BA52" s="589"/>
      <c r="BB52" s="589"/>
      <c r="BC52" s="589"/>
      <c r="BD52" s="597"/>
      <c r="BE52" s="597"/>
      <c r="BF52" s="597"/>
      <c r="BG52" s="597"/>
      <c r="BH52" s="597"/>
      <c r="BI52" s="597"/>
      <c r="BJ52" s="597"/>
      <c r="BK52" s="597"/>
      <c r="BL52" s="597"/>
      <c r="BM52" s="597"/>
      <c r="BN52" s="597"/>
      <c r="BO52" s="597"/>
      <c r="BP52" s="597"/>
      <c r="BQ52" s="597"/>
      <c r="BR52" s="597"/>
      <c r="BS52" s="597"/>
      <c r="BT52" s="597"/>
      <c r="BU52" s="597"/>
      <c r="BV52" s="597"/>
      <c r="BW52" s="597"/>
      <c r="BX52" s="598"/>
      <c r="BY52" s="598"/>
      <c r="BZ52" s="598"/>
      <c r="CA52" s="598"/>
      <c r="CB52" s="598"/>
      <c r="CC52" s="598"/>
      <c r="CD52" s="598"/>
      <c r="CE52" s="598"/>
      <c r="CF52" s="598"/>
      <c r="CG52" s="598"/>
      <c r="CH52" s="599">
        <f>SUM(CH35:CQ51)</f>
        <v>0</v>
      </c>
      <c r="CI52" s="599"/>
      <c r="CJ52" s="599"/>
      <c r="CK52" s="599"/>
      <c r="CL52" s="599"/>
      <c r="CM52" s="599"/>
      <c r="CN52" s="599"/>
      <c r="CO52" s="599"/>
      <c r="CP52" s="599"/>
      <c r="CQ52" s="599"/>
      <c r="CR52" s="590" t="s">
        <v>520</v>
      </c>
      <c r="CS52" s="590"/>
      <c r="CT52" s="590"/>
      <c r="CU52" s="590"/>
      <c r="CV52" s="590"/>
      <c r="CW52" s="590"/>
      <c r="CX52" s="590"/>
      <c r="CY52" s="590"/>
      <c r="CZ52" s="590"/>
      <c r="DA52" s="590"/>
      <c r="DB52" s="590"/>
      <c r="DC52" s="590"/>
      <c r="DD52" s="591" t="e">
        <f>CH52/AY29</f>
        <v>#DIV/0!</v>
      </c>
      <c r="DE52" s="591"/>
      <c r="DF52" s="591"/>
      <c r="DG52" s="591"/>
      <c r="DH52" s="591"/>
      <c r="DI52" s="591"/>
      <c r="DJ52" s="591"/>
      <c r="DK52" s="591"/>
      <c r="DL52" s="591"/>
      <c r="DM52" s="591"/>
      <c r="DN52" s="591"/>
      <c r="DO52" s="591"/>
      <c r="DP52" s="591"/>
      <c r="DQ52" s="591"/>
      <c r="DR52" s="591"/>
      <c r="DS52" s="591"/>
      <c r="DT52" s="591"/>
      <c r="DU52" s="591"/>
      <c r="DV52" s="591"/>
      <c r="DW52" s="591"/>
      <c r="DX52" s="591"/>
      <c r="DY52" s="592"/>
    </row>
    <row r="53" spans="1:139" ht="19.2" customHeight="1" x14ac:dyDescent="0.4">
      <c r="A53" s="333"/>
      <c r="B53" s="333"/>
      <c r="C53" s="333"/>
      <c r="D53" s="333"/>
      <c r="E53" s="333"/>
      <c r="F53" s="333"/>
      <c r="G53" s="333"/>
      <c r="H53" s="333"/>
      <c r="I53" s="333"/>
      <c r="J53" s="333"/>
      <c r="K53" s="333"/>
      <c r="L53" s="333"/>
      <c r="M53" s="333"/>
      <c r="N53" s="333"/>
      <c r="O53" s="333"/>
      <c r="P53" s="333"/>
      <c r="Q53" s="333"/>
      <c r="R53" s="333"/>
      <c r="S53" s="333"/>
      <c r="T53" s="333"/>
      <c r="U53" s="333"/>
      <c r="V53" s="333"/>
      <c r="W53" s="333"/>
      <c r="X53" s="333"/>
      <c r="Y53" s="333"/>
      <c r="Z53" s="333"/>
      <c r="AA53" s="333"/>
      <c r="AB53" s="333"/>
      <c r="AC53" s="333"/>
      <c r="AD53" s="333"/>
      <c r="AE53" s="333"/>
      <c r="AF53" s="333"/>
      <c r="AG53" s="333"/>
      <c r="AH53" s="333"/>
      <c r="AI53" s="333"/>
      <c r="AJ53" s="333"/>
      <c r="AK53" s="333"/>
      <c r="AL53" s="333"/>
      <c r="AM53" s="333"/>
      <c r="AN53" s="333"/>
      <c r="AO53" s="333"/>
      <c r="AP53" s="333"/>
      <c r="AQ53" s="333"/>
      <c r="AR53" s="333"/>
      <c r="AS53" s="333"/>
      <c r="AT53" s="333"/>
      <c r="AU53" s="333"/>
      <c r="AV53" s="333"/>
      <c r="AW53" s="333"/>
      <c r="AX53" s="333"/>
      <c r="AY53" s="333"/>
      <c r="AZ53" s="333"/>
      <c r="BA53" s="333"/>
      <c r="BB53" s="333"/>
      <c r="BC53" s="333"/>
      <c r="BD53" s="333"/>
      <c r="BE53" s="333"/>
      <c r="BF53" s="333"/>
      <c r="BG53" s="333"/>
      <c r="BH53" s="333"/>
      <c r="BI53" s="333"/>
      <c r="BJ53" s="333"/>
      <c r="BK53" s="333"/>
      <c r="BL53" s="333"/>
      <c r="BM53" s="333"/>
      <c r="BN53" s="333"/>
      <c r="BO53" s="333"/>
      <c r="BP53" s="333"/>
      <c r="BQ53" s="333"/>
      <c r="BR53" s="333"/>
      <c r="BS53" s="333"/>
      <c r="BT53" s="333"/>
      <c r="BU53" s="333"/>
      <c r="BV53" s="333"/>
      <c r="BW53" s="333"/>
      <c r="BX53" s="333"/>
      <c r="BY53" s="333"/>
      <c r="BZ53" s="333"/>
      <c r="CA53" s="333"/>
      <c r="CB53" s="333"/>
      <c r="CC53" s="333"/>
      <c r="CD53" s="593"/>
      <c r="CE53" s="593"/>
      <c r="CF53" s="593"/>
      <c r="CG53" s="593"/>
      <c r="CH53" s="593"/>
      <c r="CI53" s="593"/>
      <c r="CJ53" s="593"/>
      <c r="CK53" s="593"/>
      <c r="CL53" s="593"/>
      <c r="CM53" s="593"/>
      <c r="CN53" s="593"/>
      <c r="CO53" s="593"/>
      <c r="CP53" s="594"/>
      <c r="CQ53" s="594"/>
      <c r="CR53" s="594"/>
      <c r="CS53" s="594"/>
      <c r="CT53" s="594"/>
      <c r="CU53" s="594"/>
      <c r="CV53" s="594"/>
      <c r="CW53" s="594"/>
      <c r="CX53" s="594"/>
      <c r="CY53" s="594"/>
      <c r="CZ53" s="594"/>
      <c r="DA53" s="594"/>
      <c r="DB53" s="594"/>
      <c r="DC53" s="337"/>
      <c r="DD53" s="337"/>
      <c r="DE53" s="337"/>
      <c r="DF53" s="337"/>
      <c r="DG53" s="337"/>
      <c r="DH53" s="333"/>
      <c r="DI53" s="333"/>
      <c r="DJ53" s="333"/>
      <c r="DK53" s="333"/>
      <c r="DL53" s="333"/>
      <c r="DM53" s="333"/>
      <c r="DN53" s="333"/>
      <c r="DO53" s="333"/>
      <c r="DP53" s="333"/>
      <c r="DQ53" s="333"/>
      <c r="DR53" s="333"/>
      <c r="DS53" s="333"/>
      <c r="DT53" s="333"/>
      <c r="DU53" s="333"/>
      <c r="DV53" s="333"/>
      <c r="DW53" s="333"/>
      <c r="DX53" s="333"/>
      <c r="DY53" s="333"/>
    </row>
    <row r="54" spans="1:139" ht="25.05" customHeight="1" x14ac:dyDescent="0.4">
      <c r="A54" s="538" t="s">
        <v>522</v>
      </c>
      <c r="B54" s="538"/>
      <c r="C54" s="538"/>
      <c r="D54" s="538"/>
      <c r="E54" s="538"/>
      <c r="F54" s="538"/>
      <c r="G54" s="538"/>
      <c r="H54" s="538"/>
      <c r="I54" s="538"/>
      <c r="J54" s="538"/>
      <c r="K54" s="538"/>
      <c r="L54" s="538"/>
      <c r="M54" s="538"/>
      <c r="N54" s="538"/>
      <c r="O54" s="538"/>
      <c r="P54" s="538"/>
      <c r="Q54" s="538"/>
      <c r="R54" s="538"/>
      <c r="S54" s="538"/>
      <c r="T54" s="538"/>
      <c r="U54" s="538"/>
      <c r="V54" s="538"/>
      <c r="W54" s="538"/>
      <c r="X54" s="538"/>
      <c r="Y54" s="538"/>
      <c r="Z54" s="538"/>
      <c r="AA54" s="538"/>
      <c r="AB54" s="538"/>
      <c r="AC54" s="538"/>
      <c r="AD54" s="538"/>
      <c r="AE54" s="538"/>
      <c r="AF54" s="538"/>
      <c r="AG54" s="538"/>
      <c r="AH54" s="538"/>
      <c r="AI54" s="538"/>
      <c r="AJ54" s="538"/>
      <c r="AK54" s="538"/>
      <c r="AL54" s="538"/>
      <c r="AM54" s="538"/>
      <c r="AN54" s="538"/>
      <c r="AO54" s="538"/>
      <c r="AP54" s="538"/>
      <c r="AQ54" s="538"/>
      <c r="AR54" s="538"/>
      <c r="AS54" s="538"/>
      <c r="AT54" s="538"/>
      <c r="AU54" s="538"/>
      <c r="AV54" s="538"/>
      <c r="AW54" s="538"/>
      <c r="AX54" s="538"/>
      <c r="AY54" s="538"/>
      <c r="AZ54" s="538"/>
      <c r="BA54" s="538"/>
      <c r="BB54" s="538"/>
      <c r="BC54" s="538"/>
      <c r="BD54" s="538"/>
      <c r="BE54" s="538"/>
      <c r="BF54" s="538"/>
      <c r="BG54" s="538"/>
      <c r="BH54" s="538"/>
      <c r="BI54" s="538"/>
      <c r="BJ54" s="538"/>
      <c r="BK54" s="538"/>
      <c r="BL54" s="538"/>
      <c r="BM54" s="333"/>
      <c r="BN54" s="333"/>
      <c r="BO54" s="333"/>
      <c r="BP54" s="538" t="s">
        <v>535</v>
      </c>
      <c r="BQ54" s="538"/>
      <c r="BR54" s="538"/>
      <c r="BS54" s="538"/>
      <c r="BT54" s="538"/>
      <c r="BU54" s="538"/>
      <c r="BV54" s="538"/>
      <c r="BW54" s="538"/>
      <c r="BX54" s="538"/>
      <c r="BY54" s="538"/>
      <c r="BZ54" s="538"/>
      <c r="CA54" s="538"/>
      <c r="CB54" s="538"/>
      <c r="CC54" s="538"/>
      <c r="CD54" s="538"/>
      <c r="CE54" s="538"/>
      <c r="CF54" s="538"/>
      <c r="CG54" s="538"/>
      <c r="CH54" s="538"/>
      <c r="CI54" s="538"/>
      <c r="CJ54" s="538"/>
      <c r="CK54" s="538"/>
      <c r="CL54" s="538"/>
      <c r="CM54" s="538"/>
      <c r="CN54" s="538"/>
      <c r="CO54" s="538"/>
      <c r="CP54" s="538"/>
      <c r="CQ54" s="538"/>
      <c r="CR54" s="538"/>
      <c r="CS54" s="538"/>
      <c r="CT54" s="538"/>
      <c r="CU54" s="538"/>
      <c r="CV54" s="538"/>
      <c r="CW54" s="538"/>
      <c r="CX54" s="538"/>
      <c r="CY54" s="538"/>
      <c r="CZ54" s="538"/>
      <c r="DA54" s="538"/>
      <c r="DB54" s="538"/>
      <c r="DC54" s="538"/>
      <c r="DD54" s="538"/>
      <c r="DE54" s="538"/>
      <c r="DF54" s="538"/>
      <c r="DG54" s="538"/>
      <c r="DH54" s="538"/>
      <c r="DI54" s="538"/>
      <c r="DJ54" s="538"/>
      <c r="DK54" s="538"/>
      <c r="DL54" s="538"/>
      <c r="DM54" s="538"/>
      <c r="DN54" s="538"/>
      <c r="DO54" s="538"/>
      <c r="DP54" s="538"/>
      <c r="DQ54" s="538"/>
      <c r="DR54" s="538"/>
      <c r="DS54" s="538"/>
      <c r="DT54" s="538"/>
      <c r="DU54" s="538"/>
      <c r="DV54" s="538"/>
      <c r="DW54" s="538"/>
      <c r="DX54" s="538"/>
      <c r="DY54" s="538"/>
    </row>
    <row r="55" spans="1:139" ht="10.050000000000001" customHeight="1" thickBot="1" x14ac:dyDescent="0.45">
      <c r="A55" s="333"/>
      <c r="B55" s="333"/>
      <c r="C55" s="333"/>
      <c r="D55" s="333"/>
      <c r="E55" s="333"/>
      <c r="F55" s="333"/>
      <c r="G55" s="333"/>
      <c r="H55" s="333"/>
      <c r="I55" s="333"/>
      <c r="J55" s="333"/>
      <c r="K55" s="333"/>
      <c r="L55" s="333"/>
      <c r="M55" s="333"/>
      <c r="N55" s="333"/>
      <c r="O55" s="333"/>
      <c r="P55" s="333"/>
      <c r="Q55" s="333"/>
      <c r="R55" s="333"/>
      <c r="S55" s="333"/>
      <c r="T55" s="333"/>
      <c r="U55" s="333"/>
      <c r="V55" s="333"/>
      <c r="W55" s="333"/>
      <c r="X55" s="333"/>
      <c r="Y55" s="333"/>
      <c r="Z55" s="333"/>
      <c r="AA55" s="333"/>
      <c r="AB55" s="333"/>
      <c r="AC55" s="333"/>
      <c r="AD55" s="333"/>
      <c r="AE55" s="333"/>
      <c r="AF55" s="333"/>
      <c r="AG55" s="333"/>
      <c r="AH55" s="333"/>
      <c r="AI55" s="333"/>
      <c r="AJ55" s="333"/>
      <c r="AK55" s="333"/>
      <c r="AL55" s="333"/>
      <c r="AM55" s="333"/>
      <c r="AN55" s="333"/>
      <c r="AO55" s="333"/>
      <c r="AP55" s="333"/>
      <c r="AQ55" s="333"/>
      <c r="AR55" s="333"/>
      <c r="AS55" s="333"/>
      <c r="AT55" s="333"/>
      <c r="AU55" s="333"/>
      <c r="AV55" s="333"/>
      <c r="AW55" s="333"/>
      <c r="AX55" s="333"/>
      <c r="AY55" s="333"/>
      <c r="AZ55" s="333"/>
      <c r="BA55" s="333"/>
      <c r="BB55" s="333"/>
      <c r="BC55" s="333"/>
      <c r="BD55" s="333"/>
      <c r="BE55" s="333"/>
      <c r="BF55" s="333"/>
      <c r="BG55" s="333"/>
      <c r="BH55" s="333"/>
      <c r="BI55" s="333"/>
      <c r="BJ55" s="333"/>
      <c r="BK55" s="333"/>
      <c r="BL55" s="333"/>
      <c r="BM55" s="333"/>
      <c r="BN55" s="333"/>
      <c r="BO55" s="333"/>
      <c r="BP55" s="333"/>
      <c r="BQ55" s="333"/>
      <c r="BR55" s="333"/>
      <c r="BS55" s="333"/>
      <c r="BT55" s="333"/>
      <c r="BU55" s="333"/>
      <c r="BV55" s="333"/>
      <c r="BW55" s="333"/>
      <c r="BX55" s="333"/>
      <c r="BY55" s="333"/>
      <c r="BZ55" s="333"/>
      <c r="CA55" s="333"/>
      <c r="CB55" s="333"/>
      <c r="CC55" s="333"/>
      <c r="CD55" s="333"/>
      <c r="CE55" s="333"/>
      <c r="CF55" s="333"/>
      <c r="CG55" s="333"/>
      <c r="CH55" s="333"/>
      <c r="CI55" s="333"/>
      <c r="CJ55" s="333"/>
      <c r="CK55" s="333"/>
      <c r="CL55" s="333"/>
      <c r="CM55" s="333"/>
      <c r="CN55" s="333"/>
      <c r="CO55" s="333"/>
      <c r="CP55" s="333"/>
      <c r="CQ55" s="333"/>
      <c r="CR55" s="333"/>
      <c r="CS55" s="333"/>
      <c r="CT55" s="333"/>
      <c r="CU55" s="333"/>
      <c r="CV55" s="333"/>
      <c r="CW55" s="333"/>
      <c r="CX55" s="333"/>
      <c r="CY55" s="333"/>
      <c r="CZ55" s="333"/>
      <c r="DA55" s="333"/>
      <c r="DB55" s="333"/>
      <c r="DC55" s="333"/>
      <c r="DD55" s="333"/>
      <c r="DE55" s="333"/>
      <c r="DF55" s="333"/>
      <c r="DG55" s="333"/>
      <c r="DH55" s="333"/>
      <c r="DI55" s="333"/>
      <c r="DJ55" s="333"/>
      <c r="DK55" s="333"/>
      <c r="DL55" s="333"/>
      <c r="DM55" s="333"/>
      <c r="DN55" s="333"/>
      <c r="DO55" s="333"/>
      <c r="DP55" s="333"/>
      <c r="DQ55" s="333"/>
      <c r="DR55" s="333"/>
      <c r="DS55" s="333"/>
      <c r="DT55" s="333"/>
      <c r="DU55" s="333"/>
      <c r="DV55" s="333"/>
      <c r="DW55" s="333"/>
      <c r="DX55" s="333"/>
      <c r="DY55" s="333"/>
    </row>
    <row r="56" spans="1:139" ht="25.05" customHeight="1" x14ac:dyDescent="0.4">
      <c r="A56" s="600" t="s">
        <v>524</v>
      </c>
      <c r="B56" s="601"/>
      <c r="C56" s="601"/>
      <c r="D56" s="601"/>
      <c r="E56" s="601"/>
      <c r="F56" s="601"/>
      <c r="G56" s="601"/>
      <c r="H56" s="601"/>
      <c r="I56" s="601"/>
      <c r="J56" s="601"/>
      <c r="K56" s="601"/>
      <c r="L56" s="601"/>
      <c r="M56" s="601"/>
      <c r="N56" s="601"/>
      <c r="O56" s="601"/>
      <c r="P56" s="601"/>
      <c r="Q56" s="602" t="s">
        <v>533</v>
      </c>
      <c r="R56" s="602"/>
      <c r="S56" s="602"/>
      <c r="T56" s="602"/>
      <c r="U56" s="602"/>
      <c r="V56" s="602"/>
      <c r="W56" s="602"/>
      <c r="X56" s="602"/>
      <c r="Y56" s="602"/>
      <c r="Z56" s="602"/>
      <c r="AA56" s="602"/>
      <c r="AB56" s="602"/>
      <c r="AC56" s="602" t="s">
        <v>533</v>
      </c>
      <c r="AD56" s="602"/>
      <c r="AE56" s="602"/>
      <c r="AF56" s="602"/>
      <c r="AG56" s="602"/>
      <c r="AH56" s="602"/>
      <c r="AI56" s="602"/>
      <c r="AJ56" s="602"/>
      <c r="AK56" s="602"/>
      <c r="AL56" s="602"/>
      <c r="AM56" s="602"/>
      <c r="AN56" s="602"/>
      <c r="AO56" s="602" t="s">
        <v>534</v>
      </c>
      <c r="AP56" s="602"/>
      <c r="AQ56" s="602"/>
      <c r="AR56" s="602"/>
      <c r="AS56" s="602"/>
      <c r="AT56" s="602"/>
      <c r="AU56" s="602"/>
      <c r="AV56" s="602"/>
      <c r="AW56" s="602"/>
      <c r="AX56" s="602"/>
      <c r="AY56" s="602"/>
      <c r="AZ56" s="602"/>
      <c r="BA56" s="602" t="s">
        <v>534</v>
      </c>
      <c r="BB56" s="602"/>
      <c r="BC56" s="602"/>
      <c r="BD56" s="602"/>
      <c r="BE56" s="602"/>
      <c r="BF56" s="602"/>
      <c r="BG56" s="602"/>
      <c r="BH56" s="602"/>
      <c r="BI56" s="602"/>
      <c r="BJ56" s="602"/>
      <c r="BK56" s="602"/>
      <c r="BL56" s="603"/>
      <c r="BN56" s="333"/>
      <c r="BO56" s="333"/>
      <c r="BP56" s="604" t="s">
        <v>536</v>
      </c>
      <c r="BQ56" s="605"/>
      <c r="BR56" s="605"/>
      <c r="BS56" s="605"/>
      <c r="BT56" s="605"/>
      <c r="BU56" s="605"/>
      <c r="BV56" s="605"/>
      <c r="BW56" s="605"/>
      <c r="BX56" s="605"/>
      <c r="BY56" s="605"/>
      <c r="BZ56" s="605"/>
      <c r="CA56" s="605"/>
      <c r="CB56" s="605"/>
      <c r="CC56" s="605"/>
      <c r="CD56" s="605"/>
      <c r="CE56" s="605" t="s">
        <v>538</v>
      </c>
      <c r="CF56" s="605"/>
      <c r="CG56" s="605"/>
      <c r="CH56" s="605"/>
      <c r="CI56" s="605"/>
      <c r="CJ56" s="605"/>
      <c r="CK56" s="605"/>
      <c r="CL56" s="605"/>
      <c r="CM56" s="605"/>
      <c r="CN56" s="605"/>
      <c r="CO56" s="605"/>
      <c r="CP56" s="605"/>
      <c r="CQ56" s="605"/>
      <c r="CR56" s="605"/>
      <c r="CS56" s="605"/>
      <c r="CT56" s="605"/>
      <c r="CU56" s="605"/>
      <c r="CV56" s="605"/>
      <c r="CW56" s="605"/>
      <c r="CX56" s="605"/>
      <c r="CY56" s="605"/>
      <c r="CZ56" s="605"/>
      <c r="DA56" s="605"/>
      <c r="DB56" s="605"/>
      <c r="DC56" s="605"/>
      <c r="DD56" s="605"/>
      <c r="DE56" s="605"/>
      <c r="DF56" s="605" t="s">
        <v>539</v>
      </c>
      <c r="DG56" s="605"/>
      <c r="DH56" s="605"/>
      <c r="DI56" s="605"/>
      <c r="DJ56" s="605"/>
      <c r="DK56" s="605"/>
      <c r="DL56" s="605"/>
      <c r="DM56" s="605"/>
      <c r="DN56" s="605"/>
      <c r="DO56" s="605"/>
      <c r="DP56" s="605" t="s">
        <v>540</v>
      </c>
      <c r="DQ56" s="605"/>
      <c r="DR56" s="605"/>
      <c r="DS56" s="605"/>
      <c r="DT56" s="605"/>
      <c r="DU56" s="605"/>
      <c r="DV56" s="605"/>
      <c r="DW56" s="605"/>
      <c r="DX56" s="605"/>
      <c r="DY56" s="606"/>
    </row>
    <row r="57" spans="1:139" ht="25.05" customHeight="1" x14ac:dyDescent="0.4">
      <c r="A57" s="578"/>
      <c r="B57" s="579"/>
      <c r="C57" s="579"/>
      <c r="D57" s="579"/>
      <c r="E57" s="579"/>
      <c r="F57" s="579"/>
      <c r="G57" s="579"/>
      <c r="H57" s="579"/>
      <c r="I57" s="579"/>
      <c r="J57" s="579"/>
      <c r="K57" s="579"/>
      <c r="L57" s="579"/>
      <c r="M57" s="579"/>
      <c r="N57" s="579"/>
      <c r="O57" s="579"/>
      <c r="P57" s="579"/>
      <c r="Q57" s="607"/>
      <c r="R57" s="607"/>
      <c r="S57" s="607"/>
      <c r="T57" s="607"/>
      <c r="U57" s="607"/>
      <c r="V57" s="607"/>
      <c r="W57" s="607"/>
      <c r="X57" s="607"/>
      <c r="Y57" s="607"/>
      <c r="Z57" s="607"/>
      <c r="AA57" s="607"/>
      <c r="AB57" s="607"/>
      <c r="AC57" s="607"/>
      <c r="AD57" s="607"/>
      <c r="AE57" s="607"/>
      <c r="AF57" s="607"/>
      <c r="AG57" s="607"/>
      <c r="AH57" s="607"/>
      <c r="AI57" s="607"/>
      <c r="AJ57" s="607"/>
      <c r="AK57" s="607"/>
      <c r="AL57" s="607"/>
      <c r="AM57" s="607"/>
      <c r="AN57" s="607"/>
      <c r="AO57" s="607"/>
      <c r="AP57" s="607"/>
      <c r="AQ57" s="607"/>
      <c r="AR57" s="607"/>
      <c r="AS57" s="607"/>
      <c r="AT57" s="607"/>
      <c r="AU57" s="607"/>
      <c r="AV57" s="607"/>
      <c r="AW57" s="607"/>
      <c r="AX57" s="607"/>
      <c r="AY57" s="607"/>
      <c r="AZ57" s="607"/>
      <c r="BA57" s="607"/>
      <c r="BB57" s="607"/>
      <c r="BC57" s="607"/>
      <c r="BD57" s="607"/>
      <c r="BE57" s="607"/>
      <c r="BF57" s="607"/>
      <c r="BG57" s="607"/>
      <c r="BH57" s="607"/>
      <c r="BI57" s="607"/>
      <c r="BJ57" s="607"/>
      <c r="BK57" s="607"/>
      <c r="BL57" s="608"/>
      <c r="BM57" s="333"/>
      <c r="BN57" s="333"/>
      <c r="BO57" s="333"/>
      <c r="BP57" s="609" t="s">
        <v>541</v>
      </c>
      <c r="BQ57" s="610"/>
      <c r="BR57" s="610"/>
      <c r="BS57" s="610"/>
      <c r="BT57" s="610"/>
      <c r="BU57" s="610"/>
      <c r="BV57" s="610"/>
      <c r="BW57" s="610"/>
      <c r="BX57" s="610"/>
      <c r="BY57" s="610"/>
      <c r="BZ57" s="610"/>
      <c r="CA57" s="610"/>
      <c r="CB57" s="610"/>
      <c r="CC57" s="610"/>
      <c r="CD57" s="610"/>
      <c r="CE57" s="610" t="s">
        <v>542</v>
      </c>
      <c r="CF57" s="610"/>
      <c r="CG57" s="610"/>
      <c r="CH57" s="610"/>
      <c r="CI57" s="610"/>
      <c r="CJ57" s="610"/>
      <c r="CK57" s="610"/>
      <c r="CL57" s="610"/>
      <c r="CM57" s="610"/>
      <c r="CN57" s="610"/>
      <c r="CO57" s="610"/>
      <c r="CP57" s="610"/>
      <c r="CQ57" s="610"/>
      <c r="CR57" s="610"/>
      <c r="CS57" s="610"/>
      <c r="CT57" s="610"/>
      <c r="CU57" s="610"/>
      <c r="CV57" s="610"/>
      <c r="CW57" s="610"/>
      <c r="CX57" s="610"/>
      <c r="CY57" s="610"/>
      <c r="CZ57" s="610"/>
      <c r="DA57" s="610"/>
      <c r="DB57" s="610"/>
      <c r="DC57" s="610"/>
      <c r="DD57" s="610"/>
      <c r="DE57" s="610"/>
      <c r="DF57" s="611"/>
      <c r="DG57" s="611"/>
      <c r="DH57" s="611"/>
      <c r="DI57" s="611"/>
      <c r="DJ57" s="611"/>
      <c r="DK57" s="611"/>
      <c r="DL57" s="611"/>
      <c r="DM57" s="611"/>
      <c r="DN57" s="611"/>
      <c r="DO57" s="611"/>
      <c r="DP57" s="611"/>
      <c r="DQ57" s="611"/>
      <c r="DR57" s="611"/>
      <c r="DS57" s="611"/>
      <c r="DT57" s="611"/>
      <c r="DU57" s="611"/>
      <c r="DV57" s="611"/>
      <c r="DW57" s="611"/>
      <c r="DX57" s="611"/>
      <c r="DY57" s="612"/>
    </row>
    <row r="58" spans="1:139" ht="25.05" customHeight="1" x14ac:dyDescent="0.4">
      <c r="A58" s="578" t="s">
        <v>530</v>
      </c>
      <c r="B58" s="579"/>
      <c r="C58" s="579"/>
      <c r="D58" s="579"/>
      <c r="E58" s="579"/>
      <c r="F58" s="579"/>
      <c r="G58" s="579"/>
      <c r="H58" s="579"/>
      <c r="I58" s="579"/>
      <c r="J58" s="579"/>
      <c r="K58" s="579"/>
      <c r="L58" s="579"/>
      <c r="M58" s="579"/>
      <c r="N58" s="579"/>
      <c r="O58" s="579"/>
      <c r="P58" s="579"/>
      <c r="Q58" s="617"/>
      <c r="R58" s="617"/>
      <c r="S58" s="617"/>
      <c r="T58" s="617"/>
      <c r="U58" s="617"/>
      <c r="V58" s="617"/>
      <c r="W58" s="617"/>
      <c r="X58" s="617"/>
      <c r="Y58" s="617"/>
      <c r="Z58" s="617"/>
      <c r="AA58" s="617"/>
      <c r="AB58" s="617"/>
      <c r="AC58" s="617"/>
      <c r="AD58" s="617"/>
      <c r="AE58" s="617"/>
      <c r="AF58" s="617"/>
      <c r="AG58" s="617"/>
      <c r="AH58" s="617"/>
      <c r="AI58" s="617"/>
      <c r="AJ58" s="617"/>
      <c r="AK58" s="617"/>
      <c r="AL58" s="617"/>
      <c r="AM58" s="617"/>
      <c r="AN58" s="617"/>
      <c r="AO58" s="617"/>
      <c r="AP58" s="617"/>
      <c r="AQ58" s="617"/>
      <c r="AR58" s="617"/>
      <c r="AS58" s="617"/>
      <c r="AT58" s="617"/>
      <c r="AU58" s="617"/>
      <c r="AV58" s="617"/>
      <c r="AW58" s="617"/>
      <c r="AX58" s="617"/>
      <c r="AY58" s="617"/>
      <c r="AZ58" s="617"/>
      <c r="BA58" s="617"/>
      <c r="BB58" s="617"/>
      <c r="BC58" s="617"/>
      <c r="BD58" s="617"/>
      <c r="BE58" s="617"/>
      <c r="BF58" s="617"/>
      <c r="BG58" s="617"/>
      <c r="BH58" s="617"/>
      <c r="BI58" s="617"/>
      <c r="BJ58" s="617"/>
      <c r="BK58" s="617"/>
      <c r="BL58" s="618"/>
      <c r="BM58" s="333"/>
      <c r="BN58" s="333"/>
      <c r="BO58" s="333"/>
      <c r="BP58" s="609" t="s">
        <v>545</v>
      </c>
      <c r="BQ58" s="610"/>
      <c r="BR58" s="610"/>
      <c r="BS58" s="610"/>
      <c r="BT58" s="610"/>
      <c r="BU58" s="610"/>
      <c r="BV58" s="610"/>
      <c r="BW58" s="610"/>
      <c r="BX58" s="610"/>
      <c r="BY58" s="610"/>
      <c r="BZ58" s="610"/>
      <c r="CA58" s="610"/>
      <c r="CB58" s="610"/>
      <c r="CC58" s="610"/>
      <c r="CD58" s="610"/>
      <c r="CE58" s="610" t="s">
        <v>546</v>
      </c>
      <c r="CF58" s="610"/>
      <c r="CG58" s="610"/>
      <c r="CH58" s="610"/>
      <c r="CI58" s="610"/>
      <c r="CJ58" s="610"/>
      <c r="CK58" s="610"/>
      <c r="CL58" s="610"/>
      <c r="CM58" s="610"/>
      <c r="CN58" s="610"/>
      <c r="CO58" s="610"/>
      <c r="CP58" s="610"/>
      <c r="CQ58" s="610"/>
      <c r="CR58" s="610"/>
      <c r="CS58" s="610"/>
      <c r="CT58" s="610"/>
      <c r="CU58" s="610"/>
      <c r="CV58" s="610"/>
      <c r="CW58" s="610"/>
      <c r="CX58" s="610"/>
      <c r="CY58" s="610"/>
      <c r="CZ58" s="610"/>
      <c r="DA58" s="610"/>
      <c r="DB58" s="610"/>
      <c r="DC58" s="610"/>
      <c r="DD58" s="610"/>
      <c r="DE58" s="610"/>
      <c r="DF58" s="611"/>
      <c r="DG58" s="611"/>
      <c r="DH58" s="611"/>
      <c r="DI58" s="611"/>
      <c r="DJ58" s="611"/>
      <c r="DK58" s="611"/>
      <c r="DL58" s="611"/>
      <c r="DM58" s="611"/>
      <c r="DN58" s="611"/>
      <c r="DO58" s="611"/>
      <c r="DP58" s="611"/>
      <c r="DQ58" s="611"/>
      <c r="DR58" s="611"/>
      <c r="DS58" s="611"/>
      <c r="DT58" s="611"/>
      <c r="DU58" s="611"/>
      <c r="DV58" s="611"/>
      <c r="DW58" s="611"/>
      <c r="DX58" s="611"/>
      <c r="DY58" s="612"/>
    </row>
    <row r="59" spans="1:139" ht="25.05" customHeight="1" x14ac:dyDescent="0.4">
      <c r="A59" s="578" t="s">
        <v>526</v>
      </c>
      <c r="B59" s="579"/>
      <c r="C59" s="579"/>
      <c r="D59" s="579"/>
      <c r="E59" s="579"/>
      <c r="F59" s="579"/>
      <c r="G59" s="579"/>
      <c r="H59" s="579"/>
      <c r="I59" s="579"/>
      <c r="J59" s="579"/>
      <c r="K59" s="579"/>
      <c r="L59" s="579"/>
      <c r="M59" s="579"/>
      <c r="N59" s="579"/>
      <c r="O59" s="579"/>
      <c r="P59" s="579"/>
      <c r="Q59" s="617" t="e">
        <f>AVERAGE(Q58:BL58)*96</f>
        <v>#DIV/0!</v>
      </c>
      <c r="R59" s="617"/>
      <c r="S59" s="617"/>
      <c r="T59" s="617"/>
      <c r="U59" s="617"/>
      <c r="V59" s="617"/>
      <c r="W59" s="617"/>
      <c r="X59" s="617"/>
      <c r="Y59" s="617"/>
      <c r="Z59" s="617"/>
      <c r="AA59" s="617"/>
      <c r="AB59" s="617"/>
      <c r="AC59" s="617"/>
      <c r="AD59" s="617"/>
      <c r="AE59" s="617"/>
      <c r="AF59" s="617"/>
      <c r="AG59" s="617"/>
      <c r="AH59" s="617"/>
      <c r="AI59" s="617"/>
      <c r="AJ59" s="617"/>
      <c r="AK59" s="617"/>
      <c r="AL59" s="617"/>
      <c r="AM59" s="617"/>
      <c r="AN59" s="617"/>
      <c r="AO59" s="617"/>
      <c r="AP59" s="617"/>
      <c r="AQ59" s="617"/>
      <c r="AR59" s="617"/>
      <c r="AS59" s="617"/>
      <c r="AT59" s="617"/>
      <c r="AU59" s="617"/>
      <c r="AV59" s="617"/>
      <c r="AW59" s="617"/>
      <c r="AX59" s="617"/>
      <c r="AY59" s="617"/>
      <c r="AZ59" s="617"/>
      <c r="BA59" s="617"/>
      <c r="BB59" s="617"/>
      <c r="BC59" s="617"/>
      <c r="BD59" s="617"/>
      <c r="BE59" s="617"/>
      <c r="BF59" s="617"/>
      <c r="BG59" s="617"/>
      <c r="BH59" s="617"/>
      <c r="BI59" s="617"/>
      <c r="BJ59" s="617"/>
      <c r="BK59" s="617"/>
      <c r="BL59" s="618"/>
      <c r="BM59" s="333"/>
      <c r="BN59" s="333"/>
      <c r="BO59" s="333"/>
      <c r="BP59" s="609" t="s">
        <v>537</v>
      </c>
      <c r="BQ59" s="610"/>
      <c r="BR59" s="610"/>
      <c r="BS59" s="610"/>
      <c r="BT59" s="610"/>
      <c r="BU59" s="610"/>
      <c r="BV59" s="610"/>
      <c r="BW59" s="610"/>
      <c r="BX59" s="610"/>
      <c r="BY59" s="610"/>
      <c r="BZ59" s="610"/>
      <c r="CA59" s="610"/>
      <c r="CB59" s="610"/>
      <c r="CC59" s="610"/>
      <c r="CD59" s="610"/>
      <c r="CE59" s="610" t="s">
        <v>547</v>
      </c>
      <c r="CF59" s="610"/>
      <c r="CG59" s="610"/>
      <c r="CH59" s="610"/>
      <c r="CI59" s="610"/>
      <c r="CJ59" s="610"/>
      <c r="CK59" s="610"/>
      <c r="CL59" s="610"/>
      <c r="CM59" s="610"/>
      <c r="CN59" s="610"/>
      <c r="CO59" s="610"/>
      <c r="CP59" s="610"/>
      <c r="CQ59" s="610"/>
      <c r="CR59" s="610"/>
      <c r="CS59" s="610"/>
      <c r="CT59" s="610"/>
      <c r="CU59" s="610"/>
      <c r="CV59" s="610"/>
      <c r="CW59" s="610"/>
      <c r="CX59" s="610"/>
      <c r="CY59" s="610"/>
      <c r="CZ59" s="610"/>
      <c r="DA59" s="610"/>
      <c r="DB59" s="610"/>
      <c r="DC59" s="610"/>
      <c r="DD59" s="610"/>
      <c r="DE59" s="610"/>
      <c r="DF59" s="611"/>
      <c r="DG59" s="611"/>
      <c r="DH59" s="611"/>
      <c r="DI59" s="611"/>
      <c r="DJ59" s="611"/>
      <c r="DK59" s="611"/>
      <c r="DL59" s="611"/>
      <c r="DM59" s="611"/>
      <c r="DN59" s="611"/>
      <c r="DO59" s="611"/>
      <c r="DP59" s="611"/>
      <c r="DQ59" s="611"/>
      <c r="DR59" s="611"/>
      <c r="DS59" s="611"/>
      <c r="DT59" s="611"/>
      <c r="DU59" s="611"/>
      <c r="DV59" s="611"/>
      <c r="DW59" s="611"/>
      <c r="DX59" s="611"/>
      <c r="DY59" s="612"/>
    </row>
    <row r="60" spans="1:139" ht="25.05" customHeight="1" thickBot="1" x14ac:dyDescent="0.45">
      <c r="A60" s="613" t="s">
        <v>525</v>
      </c>
      <c r="B60" s="614"/>
      <c r="C60" s="614"/>
      <c r="D60" s="614"/>
      <c r="E60" s="614"/>
      <c r="F60" s="614"/>
      <c r="G60" s="614"/>
      <c r="H60" s="614"/>
      <c r="I60" s="614"/>
      <c r="J60" s="614"/>
      <c r="K60" s="614"/>
      <c r="L60" s="614"/>
      <c r="M60" s="614"/>
      <c r="N60" s="614"/>
      <c r="O60" s="614"/>
      <c r="P60" s="614"/>
      <c r="Q60" s="615" t="e">
        <f>Q59/CH52</f>
        <v>#DIV/0!</v>
      </c>
      <c r="R60" s="615"/>
      <c r="S60" s="615"/>
      <c r="T60" s="615"/>
      <c r="U60" s="615"/>
      <c r="V60" s="615"/>
      <c r="W60" s="615"/>
      <c r="X60" s="615"/>
      <c r="Y60" s="615"/>
      <c r="Z60" s="615"/>
      <c r="AA60" s="615"/>
      <c r="AB60" s="615"/>
      <c r="AC60" s="615"/>
      <c r="AD60" s="615"/>
      <c r="AE60" s="615"/>
      <c r="AF60" s="615"/>
      <c r="AG60" s="615"/>
      <c r="AH60" s="615"/>
      <c r="AI60" s="615"/>
      <c r="AJ60" s="615"/>
      <c r="AK60" s="615"/>
      <c r="AL60" s="615"/>
      <c r="AM60" s="615"/>
      <c r="AN60" s="615"/>
      <c r="AO60" s="615"/>
      <c r="AP60" s="615"/>
      <c r="AQ60" s="615"/>
      <c r="AR60" s="615"/>
      <c r="AS60" s="615"/>
      <c r="AT60" s="615"/>
      <c r="AU60" s="615"/>
      <c r="AV60" s="615"/>
      <c r="AW60" s="615"/>
      <c r="AX60" s="615"/>
      <c r="AY60" s="615"/>
      <c r="AZ60" s="615"/>
      <c r="BA60" s="615"/>
      <c r="BB60" s="615"/>
      <c r="BC60" s="615"/>
      <c r="BD60" s="615"/>
      <c r="BE60" s="615"/>
      <c r="BF60" s="615"/>
      <c r="BG60" s="615"/>
      <c r="BH60" s="615"/>
      <c r="BI60" s="615"/>
      <c r="BJ60" s="615"/>
      <c r="BK60" s="615"/>
      <c r="BL60" s="616"/>
      <c r="BM60" s="333"/>
      <c r="BN60" s="333"/>
      <c r="BO60" s="333"/>
      <c r="BP60" s="609" t="s">
        <v>543</v>
      </c>
      <c r="BQ60" s="610"/>
      <c r="BR60" s="610"/>
      <c r="BS60" s="610"/>
      <c r="BT60" s="610"/>
      <c r="BU60" s="610"/>
      <c r="BV60" s="610"/>
      <c r="BW60" s="610"/>
      <c r="BX60" s="610"/>
      <c r="BY60" s="610"/>
      <c r="BZ60" s="610"/>
      <c r="CA60" s="610"/>
      <c r="CB60" s="610"/>
      <c r="CC60" s="610"/>
      <c r="CD60" s="610"/>
      <c r="CE60" s="610" t="s">
        <v>544</v>
      </c>
      <c r="CF60" s="610"/>
      <c r="CG60" s="610"/>
      <c r="CH60" s="610"/>
      <c r="CI60" s="610"/>
      <c r="CJ60" s="610"/>
      <c r="CK60" s="610"/>
      <c r="CL60" s="610"/>
      <c r="CM60" s="610"/>
      <c r="CN60" s="610"/>
      <c r="CO60" s="610"/>
      <c r="CP60" s="610"/>
      <c r="CQ60" s="610"/>
      <c r="CR60" s="610"/>
      <c r="CS60" s="610"/>
      <c r="CT60" s="610"/>
      <c r="CU60" s="610"/>
      <c r="CV60" s="610"/>
      <c r="CW60" s="610"/>
      <c r="CX60" s="610"/>
      <c r="CY60" s="610"/>
      <c r="CZ60" s="610"/>
      <c r="DA60" s="610"/>
      <c r="DB60" s="610"/>
      <c r="DC60" s="610"/>
      <c r="DD60" s="610"/>
      <c r="DE60" s="610"/>
      <c r="DF60" s="611"/>
      <c r="DG60" s="611"/>
      <c r="DH60" s="611"/>
      <c r="DI60" s="611"/>
      <c r="DJ60" s="611"/>
      <c r="DK60" s="611"/>
      <c r="DL60" s="611"/>
      <c r="DM60" s="611"/>
      <c r="DN60" s="611"/>
      <c r="DO60" s="611"/>
      <c r="DP60" s="611"/>
      <c r="DQ60" s="611"/>
      <c r="DR60" s="611"/>
      <c r="DS60" s="611"/>
      <c r="DT60" s="611"/>
      <c r="DU60" s="611"/>
      <c r="DV60" s="611"/>
      <c r="DW60" s="611"/>
      <c r="DX60" s="611"/>
      <c r="DY60" s="612"/>
    </row>
    <row r="61" spans="1:139" ht="25.05" customHeight="1" thickBot="1" x14ac:dyDescent="0.45">
      <c r="A61" s="364"/>
      <c r="B61" s="364"/>
      <c r="C61" s="364"/>
      <c r="D61" s="364"/>
      <c r="E61" s="364"/>
      <c r="F61" s="364"/>
      <c r="G61" s="364"/>
      <c r="H61" s="364"/>
      <c r="I61" s="364"/>
      <c r="J61" s="364"/>
      <c r="K61" s="364"/>
      <c r="L61" s="364"/>
      <c r="M61" s="364"/>
      <c r="N61" s="364"/>
      <c r="O61" s="364"/>
      <c r="P61" s="364"/>
      <c r="Q61" s="343"/>
      <c r="R61" s="343"/>
      <c r="S61" s="343"/>
      <c r="T61" s="343"/>
      <c r="U61" s="343"/>
      <c r="V61" s="343"/>
      <c r="W61" s="343"/>
      <c r="X61" s="343"/>
      <c r="Y61" s="343"/>
      <c r="Z61" s="343"/>
      <c r="AA61" s="343"/>
      <c r="AB61" s="343"/>
      <c r="AC61" s="343"/>
      <c r="AD61" s="343"/>
      <c r="AE61" s="343"/>
      <c r="AF61" s="343"/>
      <c r="AG61" s="343"/>
      <c r="AH61" s="343"/>
      <c r="AI61" s="343"/>
      <c r="AJ61" s="343"/>
      <c r="AK61" s="343"/>
      <c r="AL61" s="343"/>
      <c r="AM61" s="343"/>
      <c r="AN61" s="343"/>
      <c r="AO61" s="343"/>
      <c r="AP61" s="343"/>
      <c r="AQ61" s="343"/>
      <c r="AR61" s="343"/>
      <c r="AS61" s="343"/>
      <c r="AT61" s="343"/>
      <c r="AU61" s="343"/>
      <c r="AV61" s="343"/>
      <c r="AW61" s="343"/>
      <c r="AX61" s="343"/>
      <c r="AY61" s="343"/>
      <c r="AZ61" s="343"/>
      <c r="BA61" s="343"/>
      <c r="BB61" s="343"/>
      <c r="BC61" s="343"/>
      <c r="BD61" s="343"/>
      <c r="BE61" s="343"/>
      <c r="BF61" s="343"/>
      <c r="BG61" s="343"/>
      <c r="BH61" s="343"/>
      <c r="BI61" s="343"/>
      <c r="BJ61" s="343"/>
      <c r="BK61" s="343"/>
      <c r="BL61" s="343"/>
      <c r="BM61" s="365"/>
      <c r="BN61" s="333"/>
      <c r="BO61" s="333"/>
      <c r="BP61" s="595" t="s">
        <v>548</v>
      </c>
      <c r="BQ61" s="590"/>
      <c r="BR61" s="590"/>
      <c r="BS61" s="590"/>
      <c r="BT61" s="590"/>
      <c r="BU61" s="590"/>
      <c r="BV61" s="590"/>
      <c r="BW61" s="590"/>
      <c r="BX61" s="590"/>
      <c r="BY61" s="590"/>
      <c r="BZ61" s="590"/>
      <c r="CA61" s="590"/>
      <c r="CB61" s="590"/>
      <c r="CC61" s="590"/>
      <c r="CD61" s="590"/>
      <c r="CE61" s="590" t="s">
        <v>549</v>
      </c>
      <c r="CF61" s="590"/>
      <c r="CG61" s="590"/>
      <c r="CH61" s="590"/>
      <c r="CI61" s="590"/>
      <c r="CJ61" s="590"/>
      <c r="CK61" s="590"/>
      <c r="CL61" s="590"/>
      <c r="CM61" s="590"/>
      <c r="CN61" s="590"/>
      <c r="CO61" s="590"/>
      <c r="CP61" s="590"/>
      <c r="CQ61" s="590"/>
      <c r="CR61" s="590"/>
      <c r="CS61" s="590"/>
      <c r="CT61" s="590"/>
      <c r="CU61" s="590"/>
      <c r="CV61" s="590"/>
      <c r="CW61" s="590"/>
      <c r="CX61" s="590"/>
      <c r="CY61" s="590"/>
      <c r="CZ61" s="590"/>
      <c r="DA61" s="590"/>
      <c r="DB61" s="590"/>
      <c r="DC61" s="590"/>
      <c r="DD61" s="590"/>
      <c r="DE61" s="590"/>
      <c r="DF61" s="628"/>
      <c r="DG61" s="628"/>
      <c r="DH61" s="628"/>
      <c r="DI61" s="628"/>
      <c r="DJ61" s="628"/>
      <c r="DK61" s="628"/>
      <c r="DL61" s="628"/>
      <c r="DM61" s="628"/>
      <c r="DN61" s="628"/>
      <c r="DO61" s="628"/>
      <c r="DP61" s="628"/>
      <c r="DQ61" s="628"/>
      <c r="DR61" s="628"/>
      <c r="DS61" s="628"/>
      <c r="DT61" s="628"/>
      <c r="DU61" s="628"/>
      <c r="DV61" s="628"/>
      <c r="DW61" s="628"/>
      <c r="DX61" s="628"/>
      <c r="DY61" s="629"/>
    </row>
    <row r="62" spans="1:139" ht="25.05" customHeight="1" x14ac:dyDescent="0.4">
      <c r="A62" s="365"/>
      <c r="B62" s="365"/>
      <c r="C62" s="365"/>
      <c r="D62" s="365"/>
      <c r="E62" s="365"/>
      <c r="F62" s="365"/>
      <c r="G62" s="365"/>
      <c r="H62" s="365"/>
      <c r="I62" s="365"/>
      <c r="J62" s="365"/>
      <c r="K62" s="366"/>
      <c r="L62" s="366"/>
      <c r="M62" s="366"/>
      <c r="N62" s="366"/>
      <c r="O62" s="366"/>
      <c r="P62" s="366"/>
      <c r="Q62" s="366"/>
      <c r="R62" s="366"/>
      <c r="S62" s="366"/>
      <c r="T62" s="366"/>
      <c r="U62" s="366"/>
      <c r="V62" s="366"/>
      <c r="W62" s="630"/>
      <c r="X62" s="630"/>
      <c r="Y62" s="630"/>
      <c r="Z62" s="630"/>
      <c r="AA62" s="630"/>
      <c r="AB62" s="630"/>
      <c r="AC62" s="630"/>
      <c r="AD62" s="630"/>
      <c r="AE62" s="630"/>
      <c r="AF62" s="630"/>
      <c r="AG62" s="630"/>
      <c r="AH62" s="630"/>
      <c r="AI62" s="630"/>
      <c r="AJ62" s="365"/>
      <c r="AK62" s="365"/>
      <c r="AL62" s="365"/>
      <c r="AM62" s="365"/>
      <c r="AN62" s="365"/>
      <c r="AO62" s="365"/>
      <c r="AP62" s="365"/>
      <c r="AQ62" s="365"/>
      <c r="AR62" s="365"/>
      <c r="AS62" s="365"/>
      <c r="AT62" s="365"/>
      <c r="AU62" s="365"/>
      <c r="AV62" s="365"/>
      <c r="AW62" s="365"/>
      <c r="AX62" s="365"/>
      <c r="AY62" s="365"/>
      <c r="AZ62" s="365"/>
      <c r="BA62" s="365"/>
      <c r="BB62" s="365"/>
      <c r="BC62" s="365"/>
      <c r="BD62" s="365"/>
      <c r="BE62" s="365"/>
      <c r="BF62" s="365"/>
      <c r="BG62" s="365"/>
      <c r="BH62" s="365"/>
      <c r="BI62" s="365"/>
      <c r="BJ62" s="365"/>
      <c r="BK62" s="365"/>
      <c r="BL62" s="365"/>
      <c r="BM62" s="365"/>
      <c r="BN62" s="333"/>
      <c r="BO62" s="333"/>
      <c r="BP62" s="593"/>
      <c r="BQ62" s="593"/>
      <c r="BR62" s="593"/>
      <c r="BS62" s="593"/>
      <c r="BT62" s="593"/>
      <c r="BU62" s="593"/>
      <c r="BV62" s="593"/>
      <c r="BW62" s="593"/>
      <c r="BX62" s="593"/>
      <c r="BY62" s="593"/>
      <c r="BZ62" s="593"/>
      <c r="CA62" s="593"/>
      <c r="CB62" s="593"/>
      <c r="CC62" s="593"/>
      <c r="CD62" s="593"/>
      <c r="CE62" s="593"/>
      <c r="CF62" s="593"/>
      <c r="CG62" s="593"/>
      <c r="CH62" s="593"/>
      <c r="CI62" s="593"/>
      <c r="CJ62" s="593"/>
      <c r="CK62" s="593"/>
      <c r="CL62" s="593"/>
      <c r="CM62" s="593"/>
      <c r="CN62" s="593"/>
      <c r="CO62" s="593"/>
      <c r="CP62" s="593"/>
      <c r="CQ62" s="593"/>
      <c r="CR62" s="593"/>
      <c r="CS62" s="593"/>
      <c r="CT62" s="593"/>
      <c r="CU62" s="593"/>
      <c r="CV62" s="593"/>
      <c r="CW62" s="593"/>
      <c r="CX62" s="593"/>
      <c r="CY62" s="593"/>
      <c r="CZ62" s="593"/>
      <c r="DA62" s="593"/>
      <c r="DB62" s="593"/>
      <c r="DC62" s="593"/>
      <c r="DD62" s="593"/>
      <c r="DE62" s="333"/>
      <c r="DF62" s="593"/>
      <c r="DG62" s="593"/>
      <c r="DH62" s="593"/>
      <c r="DI62" s="593"/>
      <c r="DJ62" s="593"/>
      <c r="DK62" s="593"/>
      <c r="DL62" s="593"/>
      <c r="DM62" s="593"/>
      <c r="DN62" s="593"/>
      <c r="DO62" s="593"/>
      <c r="DP62" s="593"/>
      <c r="DQ62" s="593"/>
      <c r="DR62" s="593"/>
      <c r="DS62" s="593"/>
      <c r="DT62" s="593"/>
      <c r="DU62" s="593"/>
      <c r="DV62" s="593"/>
      <c r="DW62" s="593"/>
      <c r="DX62" s="593"/>
      <c r="DY62" s="593"/>
    </row>
    <row r="63" spans="1:139" ht="25.2" x14ac:dyDescent="0.4">
      <c r="A63" s="538" t="s">
        <v>532</v>
      </c>
      <c r="B63" s="538"/>
      <c r="C63" s="538"/>
      <c r="D63" s="538"/>
      <c r="E63" s="538"/>
      <c r="F63" s="538"/>
      <c r="G63" s="538"/>
      <c r="H63" s="538"/>
      <c r="I63" s="538"/>
      <c r="J63" s="538"/>
      <c r="K63" s="538"/>
      <c r="L63" s="538"/>
      <c r="M63" s="538"/>
      <c r="N63" s="538"/>
      <c r="O63" s="538"/>
      <c r="P63" s="538"/>
      <c r="Q63" s="538"/>
      <c r="R63" s="538"/>
      <c r="S63" s="538"/>
      <c r="T63" s="538"/>
      <c r="U63" s="538"/>
      <c r="V63" s="538"/>
      <c r="W63" s="538"/>
      <c r="X63" s="538"/>
      <c r="Y63" s="538"/>
      <c r="Z63" s="538"/>
      <c r="AA63" s="538"/>
      <c r="AB63" s="538"/>
      <c r="AC63" s="538"/>
      <c r="AD63" s="538"/>
      <c r="AE63" s="538"/>
      <c r="AF63" s="538"/>
      <c r="AG63" s="538"/>
      <c r="AH63" s="538"/>
      <c r="AI63" s="538"/>
      <c r="AJ63" s="538"/>
      <c r="AK63" s="538"/>
      <c r="AL63" s="538"/>
      <c r="AM63" s="538"/>
      <c r="AN63" s="538"/>
      <c r="AO63" s="538"/>
      <c r="AP63" s="538"/>
      <c r="AQ63" s="538"/>
      <c r="AR63" s="538"/>
      <c r="AS63" s="538"/>
      <c r="AT63" s="538"/>
      <c r="AU63" s="538"/>
      <c r="AV63" s="538"/>
      <c r="AW63" s="538"/>
      <c r="AX63" s="538"/>
      <c r="AY63" s="538"/>
      <c r="AZ63" s="538"/>
      <c r="BA63" s="538"/>
      <c r="BB63" s="538"/>
      <c r="BC63" s="538"/>
      <c r="BD63" s="538"/>
      <c r="BE63" s="538"/>
      <c r="BF63" s="538"/>
      <c r="BG63" s="538"/>
      <c r="BH63" s="538"/>
      <c r="BI63" s="538"/>
      <c r="BJ63" s="538"/>
      <c r="BK63" s="538"/>
      <c r="BL63" s="538"/>
      <c r="BM63" s="538"/>
      <c r="BN63" s="538"/>
      <c r="BO63" s="538"/>
      <c r="BP63" s="538"/>
      <c r="BQ63" s="538"/>
      <c r="BR63" s="538"/>
      <c r="BS63" s="538"/>
      <c r="BT63" s="538"/>
      <c r="BU63" s="538"/>
      <c r="BV63" s="538"/>
      <c r="BW63" s="538"/>
      <c r="BX63" s="538"/>
      <c r="BY63" s="538"/>
      <c r="BZ63" s="538"/>
      <c r="CA63" s="538"/>
      <c r="CB63" s="538"/>
      <c r="CC63" s="538"/>
      <c r="CD63" s="538"/>
      <c r="CE63" s="538"/>
      <c r="CF63" s="538"/>
      <c r="CG63" s="538"/>
      <c r="CH63" s="538"/>
      <c r="CI63" s="538"/>
      <c r="CJ63" s="538"/>
      <c r="CK63" s="538"/>
      <c r="CL63" s="538"/>
      <c r="CM63" s="538"/>
      <c r="CN63" s="538"/>
      <c r="CO63" s="538"/>
      <c r="CP63" s="538"/>
      <c r="CQ63" s="538"/>
      <c r="CR63" s="538"/>
      <c r="CS63" s="538"/>
      <c r="CT63" s="538"/>
      <c r="CU63" s="538"/>
      <c r="CV63" s="538"/>
      <c r="CW63" s="538"/>
      <c r="CX63" s="538"/>
      <c r="CY63" s="538"/>
      <c r="CZ63" s="538"/>
      <c r="DA63" s="538"/>
      <c r="DB63" s="538"/>
      <c r="DC63" s="538"/>
      <c r="DD63" s="538"/>
      <c r="DE63" s="538"/>
      <c r="DF63" s="538"/>
      <c r="DG63" s="538"/>
      <c r="DH63" s="538"/>
      <c r="DI63" s="538"/>
      <c r="DJ63" s="538"/>
      <c r="DK63" s="538"/>
      <c r="DL63" s="538"/>
      <c r="DM63" s="538"/>
      <c r="DN63" s="538"/>
      <c r="DO63" s="538"/>
      <c r="DP63" s="538"/>
      <c r="DQ63" s="538"/>
      <c r="DR63" s="538"/>
      <c r="DS63" s="538"/>
      <c r="DT63" s="538"/>
      <c r="DU63" s="538"/>
      <c r="DV63" s="538"/>
      <c r="DW63" s="538"/>
      <c r="DX63" s="538"/>
      <c r="DY63" s="538"/>
    </row>
    <row r="64" spans="1:139" ht="10.050000000000001" customHeight="1" thickBot="1" x14ac:dyDescent="0.45"/>
    <row r="65" spans="1:129" x14ac:dyDescent="0.4">
      <c r="A65" s="619"/>
      <c r="B65" s="620"/>
      <c r="C65" s="620"/>
      <c r="D65" s="620"/>
      <c r="E65" s="620"/>
      <c r="F65" s="620"/>
      <c r="G65" s="620"/>
      <c r="H65" s="620"/>
      <c r="I65" s="620"/>
      <c r="J65" s="620"/>
      <c r="K65" s="620"/>
      <c r="L65" s="620"/>
      <c r="M65" s="620"/>
      <c r="N65" s="620"/>
      <c r="O65" s="620"/>
      <c r="P65" s="620"/>
      <c r="Q65" s="620"/>
      <c r="R65" s="620"/>
      <c r="S65" s="620"/>
      <c r="T65" s="620"/>
      <c r="U65" s="620"/>
      <c r="V65" s="620"/>
      <c r="W65" s="620"/>
      <c r="X65" s="620"/>
      <c r="Y65" s="620"/>
      <c r="Z65" s="620"/>
      <c r="AA65" s="620"/>
      <c r="AB65" s="620"/>
      <c r="AC65" s="620"/>
      <c r="AD65" s="620"/>
      <c r="AE65" s="620"/>
      <c r="AF65" s="620"/>
      <c r="AG65" s="620"/>
      <c r="AH65" s="620"/>
      <c r="AI65" s="620"/>
      <c r="AJ65" s="620"/>
      <c r="AK65" s="620"/>
      <c r="AL65" s="620"/>
      <c r="AM65" s="620"/>
      <c r="AN65" s="620"/>
      <c r="AO65" s="620"/>
      <c r="AP65" s="620"/>
      <c r="AQ65" s="620"/>
      <c r="AR65" s="620"/>
      <c r="AS65" s="620"/>
      <c r="AT65" s="620"/>
      <c r="AU65" s="620"/>
      <c r="AV65" s="620"/>
      <c r="AW65" s="620"/>
      <c r="AX65" s="620"/>
      <c r="AY65" s="620"/>
      <c r="AZ65" s="620"/>
      <c r="BA65" s="620"/>
      <c r="BB65" s="620"/>
      <c r="BC65" s="620"/>
      <c r="BD65" s="620"/>
      <c r="BE65" s="620"/>
      <c r="BF65" s="620"/>
      <c r="BG65" s="620"/>
      <c r="BH65" s="620"/>
      <c r="BI65" s="620"/>
      <c r="BJ65" s="620"/>
      <c r="BK65" s="620"/>
      <c r="BL65" s="620"/>
      <c r="BM65" s="620"/>
      <c r="BN65" s="620"/>
      <c r="BO65" s="620"/>
      <c r="BP65" s="620"/>
      <c r="BQ65" s="620"/>
      <c r="BR65" s="620"/>
      <c r="BS65" s="620"/>
      <c r="BT65" s="620"/>
      <c r="BU65" s="620"/>
      <c r="BV65" s="620"/>
      <c r="BW65" s="620"/>
      <c r="BX65" s="620"/>
      <c r="BY65" s="620"/>
      <c r="BZ65" s="620"/>
      <c r="CA65" s="620"/>
      <c r="CB65" s="620"/>
      <c r="CC65" s="620"/>
      <c r="CD65" s="620"/>
      <c r="CE65" s="620"/>
      <c r="CF65" s="620"/>
      <c r="CG65" s="620"/>
      <c r="CH65" s="620"/>
      <c r="CI65" s="620"/>
      <c r="CJ65" s="620"/>
      <c r="CK65" s="620"/>
      <c r="CL65" s="620"/>
      <c r="CM65" s="620"/>
      <c r="CN65" s="620"/>
      <c r="CO65" s="620"/>
      <c r="CP65" s="620"/>
      <c r="CQ65" s="620"/>
      <c r="CR65" s="620"/>
      <c r="CS65" s="620"/>
      <c r="CT65" s="620"/>
      <c r="CU65" s="620"/>
      <c r="CV65" s="620"/>
      <c r="CW65" s="620"/>
      <c r="CX65" s="620"/>
      <c r="CY65" s="620"/>
      <c r="CZ65" s="620"/>
      <c r="DA65" s="620"/>
      <c r="DB65" s="620"/>
      <c r="DC65" s="620"/>
      <c r="DD65" s="620"/>
      <c r="DE65" s="620"/>
      <c r="DF65" s="620"/>
      <c r="DG65" s="620"/>
      <c r="DH65" s="620"/>
      <c r="DI65" s="620"/>
      <c r="DJ65" s="620"/>
      <c r="DK65" s="620"/>
      <c r="DL65" s="620"/>
      <c r="DM65" s="620"/>
      <c r="DN65" s="620"/>
      <c r="DO65" s="620"/>
      <c r="DP65" s="620"/>
      <c r="DQ65" s="620"/>
      <c r="DR65" s="620"/>
      <c r="DS65" s="620"/>
      <c r="DT65" s="620"/>
      <c r="DU65" s="620"/>
      <c r="DV65" s="620"/>
      <c r="DW65" s="620"/>
      <c r="DX65" s="620"/>
      <c r="DY65" s="621"/>
    </row>
    <row r="66" spans="1:129" x14ac:dyDescent="0.4">
      <c r="A66" s="622"/>
      <c r="B66" s="623"/>
      <c r="C66" s="623"/>
      <c r="D66" s="623"/>
      <c r="E66" s="623"/>
      <c r="F66" s="623"/>
      <c r="G66" s="623"/>
      <c r="H66" s="623"/>
      <c r="I66" s="623"/>
      <c r="J66" s="623"/>
      <c r="K66" s="623"/>
      <c r="L66" s="623"/>
      <c r="M66" s="623"/>
      <c r="N66" s="623"/>
      <c r="O66" s="623"/>
      <c r="P66" s="623"/>
      <c r="Q66" s="623"/>
      <c r="R66" s="623"/>
      <c r="S66" s="623"/>
      <c r="T66" s="623"/>
      <c r="U66" s="623"/>
      <c r="V66" s="623"/>
      <c r="W66" s="623"/>
      <c r="X66" s="623"/>
      <c r="Y66" s="623"/>
      <c r="Z66" s="623"/>
      <c r="AA66" s="623"/>
      <c r="AB66" s="623"/>
      <c r="AC66" s="623"/>
      <c r="AD66" s="623"/>
      <c r="AE66" s="623"/>
      <c r="AF66" s="623"/>
      <c r="AG66" s="623"/>
      <c r="AH66" s="623"/>
      <c r="AI66" s="623"/>
      <c r="AJ66" s="623"/>
      <c r="AK66" s="623"/>
      <c r="AL66" s="623"/>
      <c r="AM66" s="623"/>
      <c r="AN66" s="623"/>
      <c r="AO66" s="623"/>
      <c r="AP66" s="623"/>
      <c r="AQ66" s="623"/>
      <c r="AR66" s="623"/>
      <c r="AS66" s="623"/>
      <c r="AT66" s="623"/>
      <c r="AU66" s="623"/>
      <c r="AV66" s="623"/>
      <c r="AW66" s="623"/>
      <c r="AX66" s="623"/>
      <c r="AY66" s="623"/>
      <c r="AZ66" s="623"/>
      <c r="BA66" s="623"/>
      <c r="BB66" s="623"/>
      <c r="BC66" s="623"/>
      <c r="BD66" s="623"/>
      <c r="BE66" s="623"/>
      <c r="BF66" s="623"/>
      <c r="BG66" s="623"/>
      <c r="BH66" s="623"/>
      <c r="BI66" s="623"/>
      <c r="BJ66" s="623"/>
      <c r="BK66" s="623"/>
      <c r="BL66" s="623"/>
      <c r="BM66" s="623"/>
      <c r="BN66" s="623"/>
      <c r="BO66" s="623"/>
      <c r="BP66" s="623"/>
      <c r="BQ66" s="623"/>
      <c r="BR66" s="623"/>
      <c r="BS66" s="623"/>
      <c r="BT66" s="623"/>
      <c r="BU66" s="623"/>
      <c r="BV66" s="623"/>
      <c r="BW66" s="623"/>
      <c r="BX66" s="623"/>
      <c r="BY66" s="623"/>
      <c r="BZ66" s="623"/>
      <c r="CA66" s="623"/>
      <c r="CB66" s="623"/>
      <c r="CC66" s="623"/>
      <c r="CD66" s="623"/>
      <c r="CE66" s="623"/>
      <c r="CF66" s="623"/>
      <c r="CG66" s="623"/>
      <c r="CH66" s="623"/>
      <c r="CI66" s="623"/>
      <c r="CJ66" s="623"/>
      <c r="CK66" s="623"/>
      <c r="CL66" s="623"/>
      <c r="CM66" s="623"/>
      <c r="CN66" s="623"/>
      <c r="CO66" s="623"/>
      <c r="CP66" s="623"/>
      <c r="CQ66" s="623"/>
      <c r="CR66" s="623"/>
      <c r="CS66" s="623"/>
      <c r="CT66" s="623"/>
      <c r="CU66" s="623"/>
      <c r="CV66" s="623"/>
      <c r="CW66" s="623"/>
      <c r="CX66" s="623"/>
      <c r="CY66" s="623"/>
      <c r="CZ66" s="623"/>
      <c r="DA66" s="623"/>
      <c r="DB66" s="623"/>
      <c r="DC66" s="623"/>
      <c r="DD66" s="623"/>
      <c r="DE66" s="623"/>
      <c r="DF66" s="623"/>
      <c r="DG66" s="623"/>
      <c r="DH66" s="623"/>
      <c r="DI66" s="623"/>
      <c r="DJ66" s="623"/>
      <c r="DK66" s="623"/>
      <c r="DL66" s="623"/>
      <c r="DM66" s="623"/>
      <c r="DN66" s="623"/>
      <c r="DO66" s="623"/>
      <c r="DP66" s="623"/>
      <c r="DQ66" s="623"/>
      <c r="DR66" s="623"/>
      <c r="DS66" s="623"/>
      <c r="DT66" s="623"/>
      <c r="DU66" s="623"/>
      <c r="DV66" s="623"/>
      <c r="DW66" s="623"/>
      <c r="DX66" s="623"/>
      <c r="DY66" s="624"/>
    </row>
    <row r="67" spans="1:129" ht="18" thickBot="1" x14ac:dyDescent="0.45">
      <c r="A67" s="625"/>
      <c r="B67" s="626"/>
      <c r="C67" s="626"/>
      <c r="D67" s="626"/>
      <c r="E67" s="626"/>
      <c r="F67" s="626"/>
      <c r="G67" s="626"/>
      <c r="H67" s="626"/>
      <c r="I67" s="626"/>
      <c r="J67" s="626"/>
      <c r="K67" s="626"/>
      <c r="L67" s="626"/>
      <c r="M67" s="626"/>
      <c r="N67" s="626"/>
      <c r="O67" s="626"/>
      <c r="P67" s="626"/>
      <c r="Q67" s="626"/>
      <c r="R67" s="626"/>
      <c r="S67" s="626"/>
      <c r="T67" s="626"/>
      <c r="U67" s="626"/>
      <c r="V67" s="626"/>
      <c r="W67" s="626"/>
      <c r="X67" s="626"/>
      <c r="Y67" s="626"/>
      <c r="Z67" s="626"/>
      <c r="AA67" s="626"/>
      <c r="AB67" s="626"/>
      <c r="AC67" s="626"/>
      <c r="AD67" s="626"/>
      <c r="AE67" s="626"/>
      <c r="AF67" s="626"/>
      <c r="AG67" s="626"/>
      <c r="AH67" s="626"/>
      <c r="AI67" s="626"/>
      <c r="AJ67" s="626"/>
      <c r="AK67" s="626"/>
      <c r="AL67" s="626"/>
      <c r="AM67" s="626"/>
      <c r="AN67" s="626"/>
      <c r="AO67" s="626"/>
      <c r="AP67" s="626"/>
      <c r="AQ67" s="626"/>
      <c r="AR67" s="626"/>
      <c r="AS67" s="626"/>
      <c r="AT67" s="626"/>
      <c r="AU67" s="626"/>
      <c r="AV67" s="626"/>
      <c r="AW67" s="626"/>
      <c r="AX67" s="626"/>
      <c r="AY67" s="626"/>
      <c r="AZ67" s="626"/>
      <c r="BA67" s="626"/>
      <c r="BB67" s="626"/>
      <c r="BC67" s="626"/>
      <c r="BD67" s="626"/>
      <c r="BE67" s="626"/>
      <c r="BF67" s="626"/>
      <c r="BG67" s="626"/>
      <c r="BH67" s="626"/>
      <c r="BI67" s="626"/>
      <c r="BJ67" s="626"/>
      <c r="BK67" s="626"/>
      <c r="BL67" s="626"/>
      <c r="BM67" s="626"/>
      <c r="BN67" s="626"/>
      <c r="BO67" s="626"/>
      <c r="BP67" s="626"/>
      <c r="BQ67" s="626"/>
      <c r="BR67" s="626"/>
      <c r="BS67" s="626"/>
      <c r="BT67" s="626"/>
      <c r="BU67" s="626"/>
      <c r="BV67" s="626"/>
      <c r="BW67" s="626"/>
      <c r="BX67" s="626"/>
      <c r="BY67" s="626"/>
      <c r="BZ67" s="626"/>
      <c r="CA67" s="626"/>
      <c r="CB67" s="626"/>
      <c r="CC67" s="626"/>
      <c r="CD67" s="626"/>
      <c r="CE67" s="626"/>
      <c r="CF67" s="626"/>
      <c r="CG67" s="626"/>
      <c r="CH67" s="626"/>
      <c r="CI67" s="626"/>
      <c r="CJ67" s="626"/>
      <c r="CK67" s="626"/>
      <c r="CL67" s="626"/>
      <c r="CM67" s="626"/>
      <c r="CN67" s="626"/>
      <c r="CO67" s="626"/>
      <c r="CP67" s="626"/>
      <c r="CQ67" s="626"/>
      <c r="CR67" s="626"/>
      <c r="CS67" s="626"/>
      <c r="CT67" s="626"/>
      <c r="CU67" s="626"/>
      <c r="CV67" s="626"/>
      <c r="CW67" s="626"/>
      <c r="CX67" s="626"/>
      <c r="CY67" s="626"/>
      <c r="CZ67" s="626"/>
      <c r="DA67" s="626"/>
      <c r="DB67" s="626"/>
      <c r="DC67" s="626"/>
      <c r="DD67" s="626"/>
      <c r="DE67" s="626"/>
      <c r="DF67" s="626"/>
      <c r="DG67" s="626"/>
      <c r="DH67" s="626"/>
      <c r="DI67" s="626"/>
      <c r="DJ67" s="626"/>
      <c r="DK67" s="626"/>
      <c r="DL67" s="626"/>
      <c r="DM67" s="626"/>
      <c r="DN67" s="626"/>
      <c r="DO67" s="626"/>
      <c r="DP67" s="626"/>
      <c r="DQ67" s="626"/>
      <c r="DR67" s="626"/>
      <c r="DS67" s="626"/>
      <c r="DT67" s="626"/>
      <c r="DU67" s="626"/>
      <c r="DV67" s="626"/>
      <c r="DW67" s="626"/>
      <c r="DX67" s="626"/>
      <c r="DY67" s="627"/>
    </row>
  </sheetData>
  <mergeCells count="493">
    <mergeCell ref="A63:DY63"/>
    <mergeCell ref="A65:DY67"/>
    <mergeCell ref="BP61:CD61"/>
    <mergeCell ref="CE61:DE61"/>
    <mergeCell ref="DF61:DO61"/>
    <mergeCell ref="DP61:DY61"/>
    <mergeCell ref="W62:AI62"/>
    <mergeCell ref="BP62:CD62"/>
    <mergeCell ref="CE62:DD62"/>
    <mergeCell ref="DF62:DO62"/>
    <mergeCell ref="DP62:DY62"/>
    <mergeCell ref="A60:P60"/>
    <mergeCell ref="Q60:BL60"/>
    <mergeCell ref="BP60:CD60"/>
    <mergeCell ref="CE60:DE60"/>
    <mergeCell ref="DF60:DO60"/>
    <mergeCell ref="DP60:DY60"/>
    <mergeCell ref="CE58:DE58"/>
    <mergeCell ref="DF58:DO58"/>
    <mergeCell ref="DP58:DY58"/>
    <mergeCell ref="A59:P59"/>
    <mergeCell ref="Q59:BL59"/>
    <mergeCell ref="BP59:CD59"/>
    <mergeCell ref="CE59:DE59"/>
    <mergeCell ref="DF59:DO59"/>
    <mergeCell ref="DP59:DY59"/>
    <mergeCell ref="A58:P58"/>
    <mergeCell ref="Q58:AB58"/>
    <mergeCell ref="AC58:AN58"/>
    <mergeCell ref="AO58:AZ58"/>
    <mergeCell ref="BA58:BL58"/>
    <mergeCell ref="BP58:CD58"/>
    <mergeCell ref="A54:BL54"/>
    <mergeCell ref="BP54:DY54"/>
    <mergeCell ref="A56:P57"/>
    <mergeCell ref="Q56:AB56"/>
    <mergeCell ref="AC56:AN56"/>
    <mergeCell ref="AO56:AZ56"/>
    <mergeCell ref="BA56:BL56"/>
    <mergeCell ref="BP56:CD56"/>
    <mergeCell ref="CE56:DE56"/>
    <mergeCell ref="DF56:DO56"/>
    <mergeCell ref="DP56:DY56"/>
    <mergeCell ref="Q57:AB57"/>
    <mergeCell ref="AC57:AN57"/>
    <mergeCell ref="AO57:AZ57"/>
    <mergeCell ref="BA57:BL57"/>
    <mergeCell ref="BP57:CD57"/>
    <mergeCell ref="CE57:DE57"/>
    <mergeCell ref="DF57:DO57"/>
    <mergeCell ref="DP57:DY57"/>
    <mergeCell ref="CR52:DC52"/>
    <mergeCell ref="DD52:DY52"/>
    <mergeCell ref="CD53:CO53"/>
    <mergeCell ref="CP53:DB53"/>
    <mergeCell ref="BD51:BM51"/>
    <mergeCell ref="BN51:BW51"/>
    <mergeCell ref="A52:Q52"/>
    <mergeCell ref="R52:Z52"/>
    <mergeCell ref="AA52:AI52"/>
    <mergeCell ref="AJ52:AS52"/>
    <mergeCell ref="AT52:BC52"/>
    <mergeCell ref="BD52:BM52"/>
    <mergeCell ref="BN52:BW52"/>
    <mergeCell ref="A51:D51"/>
    <mergeCell ref="E51:J51"/>
    <mergeCell ref="K51:Q51"/>
    <mergeCell ref="R51:Z51"/>
    <mergeCell ref="AA51:AI51"/>
    <mergeCell ref="AJ51:AS51"/>
    <mergeCell ref="AT51:BC51"/>
    <mergeCell ref="BX52:CG52"/>
    <mergeCell ref="CH52:CQ52"/>
    <mergeCell ref="EA49:EI49"/>
    <mergeCell ref="A50:D50"/>
    <mergeCell ref="E50:J50"/>
    <mergeCell ref="K50:Q50"/>
    <mergeCell ref="R50:Z50"/>
    <mergeCell ref="AA50:AI50"/>
    <mergeCell ref="AJ50:AS50"/>
    <mergeCell ref="AT50:BC50"/>
    <mergeCell ref="BD50:BM50"/>
    <mergeCell ref="BN50:BW50"/>
    <mergeCell ref="BX48:CG48"/>
    <mergeCell ref="CH48:CQ48"/>
    <mergeCell ref="CR48:DC48"/>
    <mergeCell ref="DD48:DY48"/>
    <mergeCell ref="A49:D49"/>
    <mergeCell ref="E49:J49"/>
    <mergeCell ref="K49:Q49"/>
    <mergeCell ref="R49:Z49"/>
    <mergeCell ref="AA49:AI49"/>
    <mergeCell ref="AJ49:AS49"/>
    <mergeCell ref="AT49:BC49"/>
    <mergeCell ref="BD49:BM49"/>
    <mergeCell ref="BN49:BW49"/>
    <mergeCell ref="A48:D48"/>
    <mergeCell ref="E48:J48"/>
    <mergeCell ref="K48:Q48"/>
    <mergeCell ref="R48:Z48"/>
    <mergeCell ref="AA48:AI48"/>
    <mergeCell ref="AJ48:AS48"/>
    <mergeCell ref="AT48:BC48"/>
    <mergeCell ref="BD48:BM48"/>
    <mergeCell ref="BN48:BW48"/>
    <mergeCell ref="BX46:CG46"/>
    <mergeCell ref="CH46:CQ46"/>
    <mergeCell ref="CR46:DC46"/>
    <mergeCell ref="DD46:DY46"/>
    <mergeCell ref="A47:D47"/>
    <mergeCell ref="E47:J47"/>
    <mergeCell ref="K47:Q47"/>
    <mergeCell ref="R47:Z47"/>
    <mergeCell ref="AA47:AI47"/>
    <mergeCell ref="AJ47:AS47"/>
    <mergeCell ref="DD47:DY47"/>
    <mergeCell ref="AT47:BC47"/>
    <mergeCell ref="BD47:BM47"/>
    <mergeCell ref="BN47:BW47"/>
    <mergeCell ref="BX47:CG47"/>
    <mergeCell ref="CH47:CQ47"/>
    <mergeCell ref="CR47:DC47"/>
    <mergeCell ref="A46:D46"/>
    <mergeCell ref="E46:J46"/>
    <mergeCell ref="K46:Q46"/>
    <mergeCell ref="R46:Z46"/>
    <mergeCell ref="AA46:AI46"/>
    <mergeCell ref="AJ46:AS46"/>
    <mergeCell ref="AT46:BC46"/>
    <mergeCell ref="BD46:BM46"/>
    <mergeCell ref="BN46:BW46"/>
    <mergeCell ref="BX44:CG44"/>
    <mergeCell ref="CH44:CQ44"/>
    <mergeCell ref="CR44:DC44"/>
    <mergeCell ref="DD44:DY44"/>
    <mergeCell ref="A45:D45"/>
    <mergeCell ref="E45:J45"/>
    <mergeCell ref="K45:Q45"/>
    <mergeCell ref="R45:Z45"/>
    <mergeCell ref="AA45:AI45"/>
    <mergeCell ref="AJ45:AS45"/>
    <mergeCell ref="DD45:DY45"/>
    <mergeCell ref="AT45:BC45"/>
    <mergeCell ref="BD45:BM45"/>
    <mergeCell ref="BN45:BW45"/>
    <mergeCell ref="BX45:CG45"/>
    <mergeCell ref="CH45:CQ45"/>
    <mergeCell ref="CR45:DC45"/>
    <mergeCell ref="A44:D44"/>
    <mergeCell ref="E44:J44"/>
    <mergeCell ref="K44:Q44"/>
    <mergeCell ref="R44:Z44"/>
    <mergeCell ref="AA44:AI44"/>
    <mergeCell ref="DD42:DY42"/>
    <mergeCell ref="A43:D43"/>
    <mergeCell ref="E43:J43"/>
    <mergeCell ref="K43:Q43"/>
    <mergeCell ref="R43:Z43"/>
    <mergeCell ref="AA43:AI43"/>
    <mergeCell ref="AJ43:AS43"/>
    <mergeCell ref="DD43:DY43"/>
    <mergeCell ref="AT43:BC43"/>
    <mergeCell ref="BD43:BM43"/>
    <mergeCell ref="BN43:BW43"/>
    <mergeCell ref="BX43:CG43"/>
    <mergeCell ref="CH43:CQ43"/>
    <mergeCell ref="CR43:DC43"/>
    <mergeCell ref="A42:D42"/>
    <mergeCell ref="E42:J42"/>
    <mergeCell ref="K42:Q42"/>
    <mergeCell ref="BX40:CG40"/>
    <mergeCell ref="CH40:CQ40"/>
    <mergeCell ref="CR40:DC40"/>
    <mergeCell ref="AJ44:AS44"/>
    <mergeCell ref="AT44:BC44"/>
    <mergeCell ref="BD44:BM44"/>
    <mergeCell ref="BN44:BW44"/>
    <mergeCell ref="BX42:CG42"/>
    <mergeCell ref="CH42:CQ42"/>
    <mergeCell ref="CR42:DC42"/>
    <mergeCell ref="AT40:BC40"/>
    <mergeCell ref="BD40:BM40"/>
    <mergeCell ref="BN40:BW40"/>
    <mergeCell ref="R42:Z42"/>
    <mergeCell ref="AA42:AI42"/>
    <mergeCell ref="AJ42:AS42"/>
    <mergeCell ref="AT42:BC42"/>
    <mergeCell ref="BD42:BM42"/>
    <mergeCell ref="BN42:BW42"/>
    <mergeCell ref="R38:Z38"/>
    <mergeCell ref="AA38:AI38"/>
    <mergeCell ref="AJ38:AS38"/>
    <mergeCell ref="AT38:BC38"/>
    <mergeCell ref="DD40:DY40"/>
    <mergeCell ref="A41:D41"/>
    <mergeCell ref="E41:J41"/>
    <mergeCell ref="K41:Q41"/>
    <mergeCell ref="R41:Z41"/>
    <mergeCell ref="AA41:AI41"/>
    <mergeCell ref="AJ41:AS41"/>
    <mergeCell ref="DD41:DY41"/>
    <mergeCell ref="AT41:BC41"/>
    <mergeCell ref="BD41:BM41"/>
    <mergeCell ref="BN41:BW41"/>
    <mergeCell ref="BX41:CG41"/>
    <mergeCell ref="CH41:CQ41"/>
    <mergeCell ref="CR41:DC41"/>
    <mergeCell ref="A40:D40"/>
    <mergeCell ref="E40:J40"/>
    <mergeCell ref="K40:Q40"/>
    <mergeCell ref="R40:Z40"/>
    <mergeCell ref="AA40:AI40"/>
    <mergeCell ref="AJ40:AS40"/>
    <mergeCell ref="A39:D39"/>
    <mergeCell ref="E39:J39"/>
    <mergeCell ref="K39:Q39"/>
    <mergeCell ref="R39:Z39"/>
    <mergeCell ref="AA39:AI39"/>
    <mergeCell ref="AJ39:AS39"/>
    <mergeCell ref="DD39:DY39"/>
    <mergeCell ref="AT39:BC39"/>
    <mergeCell ref="BD39:BM39"/>
    <mergeCell ref="BN39:BW39"/>
    <mergeCell ref="BX39:CG39"/>
    <mergeCell ref="CH39:CQ39"/>
    <mergeCell ref="CR39:DC39"/>
    <mergeCell ref="BD38:BM38"/>
    <mergeCell ref="BN38:BW38"/>
    <mergeCell ref="CR36:DC36"/>
    <mergeCell ref="DD36:DY36"/>
    <mergeCell ref="A37:D37"/>
    <mergeCell ref="E37:J37"/>
    <mergeCell ref="K37:Q37"/>
    <mergeCell ref="R37:Z37"/>
    <mergeCell ref="AA37:AI37"/>
    <mergeCell ref="AJ37:AS37"/>
    <mergeCell ref="DD37:DY37"/>
    <mergeCell ref="AT37:BC37"/>
    <mergeCell ref="BD37:BM37"/>
    <mergeCell ref="BN37:BW37"/>
    <mergeCell ref="BX37:CG37"/>
    <mergeCell ref="CH37:CQ37"/>
    <mergeCell ref="CR37:DC37"/>
    <mergeCell ref="BX38:CG38"/>
    <mergeCell ref="CH38:CQ38"/>
    <mergeCell ref="CR38:DC38"/>
    <mergeCell ref="DD38:DY38"/>
    <mergeCell ref="A38:D38"/>
    <mergeCell ref="E38:J38"/>
    <mergeCell ref="K38:Q38"/>
    <mergeCell ref="A35:D35"/>
    <mergeCell ref="E35:J35"/>
    <mergeCell ref="K35:Q35"/>
    <mergeCell ref="R35:Z35"/>
    <mergeCell ref="AA35:AI35"/>
    <mergeCell ref="AJ35:AS35"/>
    <mergeCell ref="DD35:DY35"/>
    <mergeCell ref="A36:D36"/>
    <mergeCell ref="E36:J36"/>
    <mergeCell ref="K36:Q36"/>
    <mergeCell ref="R36:Z36"/>
    <mergeCell ref="AA36:AI36"/>
    <mergeCell ref="AJ36:AS36"/>
    <mergeCell ref="AT36:BC36"/>
    <mergeCell ref="BD36:BM36"/>
    <mergeCell ref="BN36:BW36"/>
    <mergeCell ref="AT35:BC35"/>
    <mergeCell ref="BD35:BM35"/>
    <mergeCell ref="BN35:BW35"/>
    <mergeCell ref="BX35:CG35"/>
    <mergeCell ref="CH35:CQ35"/>
    <mergeCell ref="CR35:DC35"/>
    <mergeCell ref="BX36:CG36"/>
    <mergeCell ref="CH36:CQ36"/>
    <mergeCell ref="A31:DY31"/>
    <mergeCell ref="A33:D34"/>
    <mergeCell ref="E33:J34"/>
    <mergeCell ref="K33:Q34"/>
    <mergeCell ref="R33:Z34"/>
    <mergeCell ref="AA33:AI34"/>
    <mergeCell ref="AJ33:AS34"/>
    <mergeCell ref="AT33:BC34"/>
    <mergeCell ref="BD33:BM34"/>
    <mergeCell ref="BN33:BW34"/>
    <mergeCell ref="BX33:CG34"/>
    <mergeCell ref="CH33:CQ34"/>
    <mergeCell ref="CR33:DC34"/>
    <mergeCell ref="DD33:DY34"/>
    <mergeCell ref="AY28:BL28"/>
    <mergeCell ref="BP28:CE29"/>
    <mergeCell ref="CF28:CS29"/>
    <mergeCell ref="CT28:DG29"/>
    <mergeCell ref="DH28:DY29"/>
    <mergeCell ref="A29:Y29"/>
    <mergeCell ref="Z29:AK29"/>
    <mergeCell ref="AL29:AX29"/>
    <mergeCell ref="AY29:BL29"/>
    <mergeCell ref="A28:D28"/>
    <mergeCell ref="E28:O28"/>
    <mergeCell ref="P28:Y28"/>
    <mergeCell ref="Z28:AD28"/>
    <mergeCell ref="AE28:AK28"/>
    <mergeCell ref="AL28:AX28"/>
    <mergeCell ref="CT24:DG25"/>
    <mergeCell ref="DH24:DY25"/>
    <mergeCell ref="A25:D25"/>
    <mergeCell ref="E25:O25"/>
    <mergeCell ref="P25:Y25"/>
    <mergeCell ref="Z25:AK25"/>
    <mergeCell ref="AL25:AX25"/>
    <mergeCell ref="AY25:BL25"/>
    <mergeCell ref="BP26:CE27"/>
    <mergeCell ref="CF26:CS27"/>
    <mergeCell ref="CT26:DG27"/>
    <mergeCell ref="DH26:DY27"/>
    <mergeCell ref="A27:D27"/>
    <mergeCell ref="E27:O27"/>
    <mergeCell ref="P27:Y27"/>
    <mergeCell ref="Z27:AK27"/>
    <mergeCell ref="AL27:AX27"/>
    <mergeCell ref="AY27:BL27"/>
    <mergeCell ref="A26:D26"/>
    <mergeCell ref="E26:O26"/>
    <mergeCell ref="P26:Y26"/>
    <mergeCell ref="Z26:AK26"/>
    <mergeCell ref="AL26:AX26"/>
    <mergeCell ref="AY26:BL26"/>
    <mergeCell ref="A24:D24"/>
    <mergeCell ref="E24:O24"/>
    <mergeCell ref="P24:Y24"/>
    <mergeCell ref="Z24:AK24"/>
    <mergeCell ref="AL24:AX24"/>
    <mergeCell ref="AY24:BL24"/>
    <mergeCell ref="BP24:CE25"/>
    <mergeCell ref="BP22:CE22"/>
    <mergeCell ref="CF24:CS25"/>
    <mergeCell ref="CF22:CS23"/>
    <mergeCell ref="CT22:DG23"/>
    <mergeCell ref="DH22:DY23"/>
    <mergeCell ref="A23:D23"/>
    <mergeCell ref="E23:O23"/>
    <mergeCell ref="P23:Y23"/>
    <mergeCell ref="Z23:AK23"/>
    <mergeCell ref="AL23:AX23"/>
    <mergeCell ref="AY23:BL23"/>
    <mergeCell ref="A22:D22"/>
    <mergeCell ref="E22:O22"/>
    <mergeCell ref="P22:Y22"/>
    <mergeCell ref="Z22:AK22"/>
    <mergeCell ref="AL22:AX22"/>
    <mergeCell ref="AY22:BL22"/>
    <mergeCell ref="BP23:CE23"/>
    <mergeCell ref="BP20:DY20"/>
    <mergeCell ref="A21:D21"/>
    <mergeCell ref="E21:O21"/>
    <mergeCell ref="P21:Y21"/>
    <mergeCell ref="Z21:AK21"/>
    <mergeCell ref="AL21:AX21"/>
    <mergeCell ref="AY21:BL21"/>
    <mergeCell ref="A20:D20"/>
    <mergeCell ref="E20:O20"/>
    <mergeCell ref="P20:Y20"/>
    <mergeCell ref="Z20:AK20"/>
    <mergeCell ref="AL20:AX20"/>
    <mergeCell ref="AY20:BL20"/>
    <mergeCell ref="Z16:AK16"/>
    <mergeCell ref="AL16:AX16"/>
    <mergeCell ref="AY16:BL16"/>
    <mergeCell ref="BP16:BU16"/>
    <mergeCell ref="CM18:CV18"/>
    <mergeCell ref="CW18:DF18"/>
    <mergeCell ref="DG18:DP18"/>
    <mergeCell ref="DQ18:DY18"/>
    <mergeCell ref="A19:D19"/>
    <mergeCell ref="E19:O19"/>
    <mergeCell ref="P19:Y19"/>
    <mergeCell ref="Z19:AK19"/>
    <mergeCell ref="AL19:AX19"/>
    <mergeCell ref="AY19:BL19"/>
    <mergeCell ref="A18:D18"/>
    <mergeCell ref="E18:O18"/>
    <mergeCell ref="P18:Y18"/>
    <mergeCell ref="Z18:AK18"/>
    <mergeCell ref="AL18:AX18"/>
    <mergeCell ref="AY18:BL18"/>
    <mergeCell ref="BP18:BU18"/>
    <mergeCell ref="BV18:CC18"/>
    <mergeCell ref="CD18:CL18"/>
    <mergeCell ref="A17:D17"/>
    <mergeCell ref="E17:O17"/>
    <mergeCell ref="P17:Y17"/>
    <mergeCell ref="Z17:AK17"/>
    <mergeCell ref="AL17:AX17"/>
    <mergeCell ref="AY17:BL17"/>
    <mergeCell ref="DQ17:DY17"/>
    <mergeCell ref="BP17:BU17"/>
    <mergeCell ref="BV17:CC17"/>
    <mergeCell ref="CD17:CL17"/>
    <mergeCell ref="CM17:CV17"/>
    <mergeCell ref="CW17:DF17"/>
    <mergeCell ref="DG17:DP17"/>
    <mergeCell ref="BV16:CC16"/>
    <mergeCell ref="CD16:CL16"/>
    <mergeCell ref="DG14:DP14"/>
    <mergeCell ref="DQ14:DY14"/>
    <mergeCell ref="A15:D15"/>
    <mergeCell ref="E15:O15"/>
    <mergeCell ref="P15:Y15"/>
    <mergeCell ref="Z15:AK15"/>
    <mergeCell ref="AL15:AX15"/>
    <mergeCell ref="AY15:BL15"/>
    <mergeCell ref="DQ15:DY15"/>
    <mergeCell ref="BP15:BU15"/>
    <mergeCell ref="BV15:CC15"/>
    <mergeCell ref="CD15:CL15"/>
    <mergeCell ref="CM15:CV15"/>
    <mergeCell ref="CW15:DF15"/>
    <mergeCell ref="DG15:DP15"/>
    <mergeCell ref="CM16:CV16"/>
    <mergeCell ref="CW16:DF16"/>
    <mergeCell ref="DG16:DP16"/>
    <mergeCell ref="DQ16:DY16"/>
    <mergeCell ref="A16:D16"/>
    <mergeCell ref="E16:O16"/>
    <mergeCell ref="P16:Y16"/>
    <mergeCell ref="DQ13:DY13"/>
    <mergeCell ref="A14:D14"/>
    <mergeCell ref="E14:O14"/>
    <mergeCell ref="P14:Y14"/>
    <mergeCell ref="Z14:AK14"/>
    <mergeCell ref="AL14:AX14"/>
    <mergeCell ref="AY14:BL14"/>
    <mergeCell ref="BP14:BU14"/>
    <mergeCell ref="BV14:CC14"/>
    <mergeCell ref="CD14:CL14"/>
    <mergeCell ref="BP13:BU13"/>
    <mergeCell ref="BV13:CC13"/>
    <mergeCell ref="CD13:CL13"/>
    <mergeCell ref="CM13:CV13"/>
    <mergeCell ref="CW13:DF13"/>
    <mergeCell ref="DG13:DP13"/>
    <mergeCell ref="A13:D13"/>
    <mergeCell ref="E13:O13"/>
    <mergeCell ref="P13:Y13"/>
    <mergeCell ref="Z13:AK13"/>
    <mergeCell ref="AL13:AX13"/>
    <mergeCell ref="AY13:BL13"/>
    <mergeCell ref="CM14:CV14"/>
    <mergeCell ref="CW14:DF14"/>
    <mergeCell ref="CD11:DY11"/>
    <mergeCell ref="CD12:CL12"/>
    <mergeCell ref="CM12:CV12"/>
    <mergeCell ref="CW12:DF12"/>
    <mergeCell ref="DG12:DP12"/>
    <mergeCell ref="DQ12:DY12"/>
    <mergeCell ref="A9:BL9"/>
    <mergeCell ref="BP9:DY9"/>
    <mergeCell ref="A11:D12"/>
    <mergeCell ref="E11:O12"/>
    <mergeCell ref="P11:Y12"/>
    <mergeCell ref="Z11:AK12"/>
    <mergeCell ref="AL11:AX12"/>
    <mergeCell ref="AY11:BL12"/>
    <mergeCell ref="BP11:BU12"/>
    <mergeCell ref="BV11:CC12"/>
    <mergeCell ref="CD7:CK7"/>
    <mergeCell ref="CL7:CS7"/>
    <mergeCell ref="CT7:CV7"/>
    <mergeCell ref="CW7:DI7"/>
    <mergeCell ref="DJ7:DT7"/>
    <mergeCell ref="DU7:DY7"/>
    <mergeCell ref="A7:I7"/>
    <mergeCell ref="J7:AE7"/>
    <mergeCell ref="AF7:AP7"/>
    <mergeCell ref="AQ7:BD7"/>
    <mergeCell ref="BE7:BO7"/>
    <mergeCell ref="BP7:CC7"/>
    <mergeCell ref="BY6:CC6"/>
    <mergeCell ref="CD6:CK6"/>
    <mergeCell ref="CL6:CV6"/>
    <mergeCell ref="CW6:DI6"/>
    <mergeCell ref="DJ6:DT6"/>
    <mergeCell ref="DU6:DY6"/>
    <mergeCell ref="AU1:CH1"/>
    <mergeCell ref="DG2:DY2"/>
    <mergeCell ref="A4:DY4"/>
    <mergeCell ref="A6:I6"/>
    <mergeCell ref="J6:AE6"/>
    <mergeCell ref="AF6:AP6"/>
    <mergeCell ref="AQ6:AZ6"/>
    <mergeCell ref="BA6:BD6"/>
    <mergeCell ref="BE6:BO6"/>
    <mergeCell ref="BP6:BX6"/>
  </mergeCells>
  <phoneticPr fontId="2" type="noConversion"/>
  <printOptions horizontalCentered="1"/>
  <pageMargins left="0.19685039370078741" right="0.19685039370078741" top="0.39370078740157483" bottom="0.3582677165354331" header="0.31496062992125984" footer="0.31496062992125984"/>
  <pageSetup paperSize="9" scale="58"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6E9B3-134F-4506-A6D9-0F72E59A3C53}">
  <sheetPr>
    <pageSetUpPr fitToPage="1"/>
  </sheetPr>
  <dimension ref="A1:EI67"/>
  <sheetViews>
    <sheetView showZeros="0" topLeftCell="A12" zoomScale="90" zoomScaleNormal="90" workbookViewId="0">
      <selection activeCell="BP23" sqref="BP23:CE23"/>
    </sheetView>
  </sheetViews>
  <sheetFormatPr defaultColWidth="9" defaultRowHeight="17.399999999999999" x14ac:dyDescent="0.4"/>
  <cols>
    <col min="1" max="3" width="1.59765625" style="322" customWidth="1"/>
    <col min="4" max="4" width="2.59765625" style="322" customWidth="1"/>
    <col min="5" max="5" width="1.19921875" style="322" customWidth="1"/>
    <col min="6" max="6" width="1.3984375" style="322" customWidth="1"/>
    <col min="7" max="7" width="1.19921875" style="322" customWidth="1"/>
    <col min="8" max="8" width="1.3984375" style="322" customWidth="1"/>
    <col min="9" max="9" width="1.19921875" style="322" customWidth="1"/>
    <col min="10" max="10" width="2.5" style="322" customWidth="1"/>
    <col min="11" max="11" width="1.3984375" style="322" customWidth="1"/>
    <col min="12" max="12" width="1.19921875" style="322" hidden="1" customWidth="1"/>
    <col min="13" max="14" width="1.19921875" style="322" customWidth="1"/>
    <col min="15" max="15" width="3.69921875" style="322" customWidth="1"/>
    <col min="16" max="125" width="1.19921875" style="322" customWidth="1"/>
    <col min="126" max="127" width="1.3984375" style="322" customWidth="1"/>
    <col min="128" max="128" width="1.19921875" style="322" customWidth="1"/>
    <col min="129" max="129" width="1.3984375" style="322" customWidth="1"/>
    <col min="130" max="130" width="7.59765625" style="322" customWidth="1"/>
    <col min="131" max="16384" width="9" style="322"/>
  </cols>
  <sheetData>
    <row r="1" spans="1:132" ht="64.95" customHeight="1" x14ac:dyDescent="1.1000000000000001"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  <c r="N1" s="323"/>
      <c r="O1" s="323"/>
      <c r="P1" s="323"/>
      <c r="Q1" s="323"/>
      <c r="R1" s="323"/>
      <c r="S1" s="323"/>
      <c r="T1" s="323"/>
      <c r="U1" s="323"/>
      <c r="V1" s="323"/>
      <c r="W1" s="323"/>
      <c r="X1" s="323"/>
      <c r="Y1" s="323"/>
      <c r="Z1" s="323"/>
      <c r="AA1" s="323"/>
      <c r="AB1" s="323"/>
      <c r="AC1" s="323"/>
      <c r="AD1" s="323"/>
      <c r="AE1" s="323"/>
      <c r="AF1" s="323"/>
      <c r="AG1" s="323"/>
      <c r="AH1" s="323"/>
      <c r="AI1" s="323"/>
      <c r="AJ1" s="323"/>
      <c r="AK1" s="323"/>
      <c r="AL1" s="323"/>
      <c r="AM1" s="323"/>
      <c r="AN1" s="323"/>
      <c r="AO1" s="323"/>
      <c r="AP1" s="323"/>
      <c r="AQ1" s="323"/>
      <c r="AR1" s="323"/>
      <c r="AS1" s="323"/>
      <c r="AT1" s="323"/>
      <c r="AU1" s="446" t="s">
        <v>473</v>
      </c>
      <c r="AV1" s="446"/>
      <c r="AW1" s="446"/>
      <c r="AX1" s="446"/>
      <c r="AY1" s="446"/>
      <c r="AZ1" s="446"/>
      <c r="BA1" s="446"/>
      <c r="BB1" s="446"/>
      <c r="BC1" s="446"/>
      <c r="BD1" s="446"/>
      <c r="BE1" s="446"/>
      <c r="BF1" s="446"/>
      <c r="BG1" s="446"/>
      <c r="BH1" s="446"/>
      <c r="BI1" s="446"/>
      <c r="BJ1" s="446"/>
      <c r="BK1" s="446"/>
      <c r="BL1" s="446"/>
      <c r="BM1" s="446"/>
      <c r="BN1" s="446"/>
      <c r="BO1" s="446"/>
      <c r="BP1" s="446"/>
      <c r="BQ1" s="446"/>
      <c r="BR1" s="446"/>
      <c r="BS1" s="446"/>
      <c r="BT1" s="446"/>
      <c r="BU1" s="446"/>
      <c r="BV1" s="446"/>
      <c r="BW1" s="446"/>
      <c r="BX1" s="446"/>
      <c r="BY1" s="446"/>
      <c r="BZ1" s="446"/>
      <c r="CA1" s="446"/>
      <c r="CB1" s="446"/>
      <c r="CC1" s="446"/>
      <c r="CD1" s="446"/>
      <c r="CE1" s="446"/>
      <c r="CF1" s="446"/>
      <c r="CG1" s="446"/>
      <c r="CH1" s="446"/>
    </row>
    <row r="2" spans="1:132" ht="30" customHeight="1" x14ac:dyDescent="0.45"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  <c r="AG2" s="325"/>
      <c r="AH2" s="325"/>
      <c r="AI2" s="325"/>
      <c r="AJ2" s="325"/>
      <c r="AK2" s="325"/>
      <c r="AL2" s="325"/>
      <c r="AM2" s="325"/>
      <c r="AN2" s="325"/>
      <c r="AO2" s="325"/>
      <c r="AP2" s="325"/>
      <c r="AQ2" s="325"/>
      <c r="AR2" s="325"/>
      <c r="AS2" s="325"/>
      <c r="AT2" s="325"/>
      <c r="AU2" s="325"/>
      <c r="AV2" s="325"/>
      <c r="AW2" s="325"/>
      <c r="AX2" s="325"/>
      <c r="AY2" s="325"/>
      <c r="AZ2" s="325"/>
      <c r="BA2" s="325"/>
      <c r="BB2" s="325"/>
      <c r="BC2" s="325"/>
      <c r="BD2" s="325"/>
      <c r="BE2" s="325"/>
      <c r="BF2" s="325"/>
      <c r="BG2" s="325"/>
      <c r="BH2" s="325"/>
      <c r="BI2" s="325"/>
      <c r="BJ2" s="325"/>
      <c r="BK2" s="325"/>
      <c r="BL2" s="325"/>
      <c r="BM2" s="325"/>
      <c r="BN2" s="325"/>
      <c r="BO2" s="325"/>
      <c r="BP2" s="325"/>
      <c r="BQ2" s="325"/>
      <c r="BR2" s="325"/>
      <c r="BS2" s="325"/>
      <c r="BT2" s="325"/>
      <c r="BU2" s="325"/>
      <c r="BV2" s="325"/>
      <c r="BW2" s="325"/>
      <c r="BX2" s="325"/>
      <c r="BY2" s="325"/>
      <c r="BZ2" s="325"/>
      <c r="CA2" s="325"/>
      <c r="CB2" s="325"/>
      <c r="CC2" s="325"/>
      <c r="CD2" s="325"/>
      <c r="CE2" s="325"/>
      <c r="CF2" s="325"/>
      <c r="CG2" s="325"/>
      <c r="DB2" s="324"/>
      <c r="DC2" s="324"/>
      <c r="DD2" s="324"/>
      <c r="DE2" s="324"/>
      <c r="DF2" s="324"/>
      <c r="DG2" s="447">
        <v>46186</v>
      </c>
      <c r="DH2" s="447"/>
      <c r="DI2" s="447"/>
      <c r="DJ2" s="447"/>
      <c r="DK2" s="447"/>
      <c r="DL2" s="447"/>
      <c r="DM2" s="447"/>
      <c r="DN2" s="447"/>
      <c r="DO2" s="447"/>
      <c r="DP2" s="447"/>
      <c r="DQ2" s="447"/>
      <c r="DR2" s="447"/>
      <c r="DS2" s="447"/>
      <c r="DT2" s="447"/>
      <c r="DU2" s="447"/>
      <c r="DV2" s="447"/>
      <c r="DW2" s="447"/>
      <c r="DX2" s="447"/>
      <c r="DY2" s="447"/>
    </row>
    <row r="3" spans="1:132" ht="5.25" customHeight="1" x14ac:dyDescent="0.4">
      <c r="A3" s="324"/>
      <c r="B3" s="324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  <c r="AA3" s="324"/>
      <c r="AB3" s="324"/>
      <c r="AC3" s="324"/>
      <c r="AD3" s="324"/>
      <c r="AE3" s="324"/>
      <c r="AF3" s="324"/>
      <c r="AG3" s="324"/>
      <c r="AH3" s="324"/>
      <c r="AI3" s="324"/>
      <c r="AJ3" s="324"/>
      <c r="AK3" s="324"/>
      <c r="AL3" s="324"/>
      <c r="AM3" s="324"/>
      <c r="AN3" s="324"/>
      <c r="AO3" s="324"/>
      <c r="AP3" s="324"/>
      <c r="AQ3" s="324"/>
      <c r="AR3" s="324"/>
      <c r="AS3" s="324"/>
      <c r="AT3" s="324"/>
      <c r="AU3" s="324"/>
      <c r="AV3" s="324"/>
      <c r="AW3" s="324"/>
      <c r="AX3" s="324"/>
      <c r="AY3" s="324"/>
      <c r="AZ3" s="324"/>
      <c r="BA3" s="324"/>
      <c r="BB3" s="324"/>
      <c r="BC3" s="324"/>
      <c r="BD3" s="324"/>
      <c r="BE3" s="324"/>
      <c r="BF3" s="324"/>
      <c r="BG3" s="324"/>
      <c r="BH3" s="324"/>
      <c r="BI3" s="324"/>
      <c r="BJ3" s="324"/>
      <c r="BK3" s="324"/>
      <c r="BL3" s="324"/>
      <c r="BM3" s="324"/>
      <c r="BN3" s="324"/>
      <c r="BO3" s="324"/>
      <c r="BP3" s="324"/>
      <c r="BQ3" s="324"/>
      <c r="BR3" s="324"/>
      <c r="BS3" s="324"/>
      <c r="BT3" s="324"/>
      <c r="BU3" s="324"/>
      <c r="BV3" s="324"/>
      <c r="BW3" s="324"/>
      <c r="BX3" s="324"/>
      <c r="BY3" s="324"/>
      <c r="BZ3" s="324"/>
      <c r="CA3" s="324"/>
      <c r="CB3" s="324"/>
      <c r="CC3" s="324"/>
      <c r="CD3" s="324"/>
      <c r="CE3" s="324"/>
      <c r="CF3" s="324"/>
      <c r="CG3" s="324"/>
      <c r="CH3" s="324"/>
      <c r="CI3" s="324"/>
      <c r="CJ3" s="324"/>
      <c r="CK3" s="324"/>
      <c r="CL3" s="324"/>
      <c r="CM3" s="324"/>
      <c r="CN3" s="324"/>
      <c r="CO3" s="324"/>
      <c r="CP3" s="324"/>
      <c r="CQ3" s="324"/>
      <c r="CR3" s="324"/>
      <c r="CS3" s="324"/>
      <c r="CT3" s="324"/>
      <c r="CU3" s="324"/>
      <c r="CV3" s="324"/>
      <c r="CW3" s="324"/>
      <c r="CX3" s="324"/>
      <c r="CY3" s="324"/>
      <c r="CZ3" s="324"/>
      <c r="DA3" s="324"/>
      <c r="DB3" s="324"/>
      <c r="DC3" s="324"/>
      <c r="DD3" s="324"/>
      <c r="DE3" s="324"/>
      <c r="DF3" s="324"/>
      <c r="DG3" s="324"/>
      <c r="DH3" s="324"/>
      <c r="DI3" s="324"/>
      <c r="DJ3" s="324"/>
      <c r="DK3" s="324"/>
      <c r="DL3" s="324"/>
      <c r="DM3" s="324"/>
      <c r="DN3" s="324"/>
      <c r="DO3" s="324"/>
      <c r="DP3" s="324"/>
      <c r="DQ3" s="324"/>
      <c r="DR3" s="324"/>
      <c r="DS3" s="324"/>
      <c r="DT3" s="324"/>
      <c r="DU3" s="324"/>
      <c r="DV3" s="324"/>
      <c r="DW3" s="324"/>
      <c r="DX3" s="324"/>
      <c r="DY3" s="324"/>
    </row>
    <row r="4" spans="1:132" ht="25.05" customHeight="1" x14ac:dyDescent="0.4">
      <c r="A4" s="448" t="s">
        <v>474</v>
      </c>
      <c r="B4" s="449"/>
      <c r="C4" s="449"/>
      <c r="D4" s="449"/>
      <c r="E4" s="449"/>
      <c r="F4" s="449"/>
      <c r="G4" s="449"/>
      <c r="H4" s="449"/>
      <c r="I4" s="449"/>
      <c r="J4" s="449"/>
      <c r="K4" s="449"/>
      <c r="L4" s="449"/>
      <c r="M4" s="449"/>
      <c r="N4" s="449"/>
      <c r="O4" s="449"/>
      <c r="P4" s="449"/>
      <c r="Q4" s="449"/>
      <c r="R4" s="449"/>
      <c r="S4" s="449"/>
      <c r="T4" s="449"/>
      <c r="U4" s="449"/>
      <c r="V4" s="449"/>
      <c r="W4" s="449"/>
      <c r="X4" s="449"/>
      <c r="Y4" s="449"/>
      <c r="Z4" s="449"/>
      <c r="AA4" s="449"/>
      <c r="AB4" s="449"/>
      <c r="AC4" s="449"/>
      <c r="AD4" s="449"/>
      <c r="AE4" s="449"/>
      <c r="AF4" s="449"/>
      <c r="AG4" s="449"/>
      <c r="AH4" s="449"/>
      <c r="AI4" s="449"/>
      <c r="AJ4" s="449"/>
      <c r="AK4" s="449"/>
      <c r="AL4" s="449"/>
      <c r="AM4" s="449"/>
      <c r="AN4" s="449"/>
      <c r="AO4" s="449"/>
      <c r="AP4" s="449"/>
      <c r="AQ4" s="449"/>
      <c r="AR4" s="449"/>
      <c r="AS4" s="449"/>
      <c r="AT4" s="449"/>
      <c r="AU4" s="449"/>
      <c r="AV4" s="449"/>
      <c r="AW4" s="449"/>
      <c r="AX4" s="449"/>
      <c r="AY4" s="449"/>
      <c r="AZ4" s="449"/>
      <c r="BA4" s="449"/>
      <c r="BB4" s="449"/>
      <c r="BC4" s="449"/>
      <c r="BD4" s="449"/>
      <c r="BE4" s="449"/>
      <c r="BF4" s="449"/>
      <c r="BG4" s="449"/>
      <c r="BH4" s="449"/>
      <c r="BI4" s="449"/>
      <c r="BJ4" s="449"/>
      <c r="BK4" s="449"/>
      <c r="BL4" s="449"/>
      <c r="BM4" s="449"/>
      <c r="BN4" s="449"/>
      <c r="BO4" s="449"/>
      <c r="BP4" s="449"/>
      <c r="BQ4" s="449"/>
      <c r="BR4" s="449"/>
      <c r="BS4" s="449"/>
      <c r="BT4" s="449"/>
      <c r="BU4" s="449"/>
      <c r="BV4" s="449"/>
      <c r="BW4" s="449"/>
      <c r="BX4" s="449"/>
      <c r="BY4" s="449"/>
      <c r="BZ4" s="449"/>
      <c r="CA4" s="449"/>
      <c r="CB4" s="449"/>
      <c r="CC4" s="449"/>
      <c r="CD4" s="449"/>
      <c r="CE4" s="449"/>
      <c r="CF4" s="449"/>
      <c r="CG4" s="449"/>
      <c r="CH4" s="449"/>
      <c r="CI4" s="449"/>
      <c r="CJ4" s="449"/>
      <c r="CK4" s="449"/>
      <c r="CL4" s="449"/>
      <c r="CM4" s="449"/>
      <c r="CN4" s="449"/>
      <c r="CO4" s="449"/>
      <c r="CP4" s="449"/>
      <c r="CQ4" s="449"/>
      <c r="CR4" s="449"/>
      <c r="CS4" s="449"/>
      <c r="CT4" s="449"/>
      <c r="CU4" s="449"/>
      <c r="CV4" s="449"/>
      <c r="CW4" s="449"/>
      <c r="CX4" s="449"/>
      <c r="CY4" s="449"/>
      <c r="CZ4" s="449"/>
      <c r="DA4" s="449"/>
      <c r="DB4" s="449"/>
      <c r="DC4" s="449"/>
      <c r="DD4" s="449"/>
      <c r="DE4" s="449"/>
      <c r="DF4" s="449"/>
      <c r="DG4" s="449"/>
      <c r="DH4" s="449"/>
      <c r="DI4" s="449"/>
      <c r="DJ4" s="449"/>
      <c r="DK4" s="449"/>
      <c r="DL4" s="449"/>
      <c r="DM4" s="449"/>
      <c r="DN4" s="449"/>
      <c r="DO4" s="449"/>
      <c r="DP4" s="449"/>
      <c r="DQ4" s="449"/>
      <c r="DR4" s="449"/>
      <c r="DS4" s="449"/>
      <c r="DT4" s="449"/>
      <c r="DU4" s="449"/>
      <c r="DV4" s="449"/>
      <c r="DW4" s="449"/>
      <c r="DX4" s="449"/>
      <c r="DY4" s="449"/>
    </row>
    <row r="5" spans="1:132" s="334" customFormat="1" ht="10.050000000000001" customHeight="1" thickBot="1" x14ac:dyDescent="0.45">
      <c r="A5" s="335"/>
      <c r="B5" s="336"/>
      <c r="C5" s="336"/>
      <c r="D5" s="336"/>
      <c r="E5" s="336"/>
      <c r="F5" s="336"/>
      <c r="G5" s="336"/>
      <c r="H5" s="336"/>
      <c r="I5" s="336"/>
      <c r="J5" s="336"/>
      <c r="K5" s="336"/>
      <c r="L5" s="336"/>
      <c r="M5" s="336"/>
      <c r="N5" s="336"/>
      <c r="O5" s="336"/>
      <c r="P5" s="336"/>
      <c r="Q5" s="336"/>
      <c r="R5" s="336"/>
      <c r="S5" s="336"/>
      <c r="T5" s="336"/>
      <c r="U5" s="336"/>
      <c r="V5" s="336"/>
      <c r="W5" s="336"/>
      <c r="X5" s="336"/>
      <c r="Y5" s="336"/>
      <c r="Z5" s="336"/>
      <c r="AA5" s="336"/>
      <c r="AB5" s="336"/>
      <c r="AC5" s="336"/>
      <c r="AD5" s="336"/>
      <c r="AE5" s="336"/>
      <c r="AF5" s="336"/>
      <c r="AG5" s="336"/>
      <c r="AH5" s="336"/>
      <c r="AI5" s="336"/>
      <c r="AJ5" s="336"/>
      <c r="AK5" s="336"/>
      <c r="AL5" s="336"/>
      <c r="AM5" s="336"/>
      <c r="AN5" s="336"/>
      <c r="AO5" s="336"/>
      <c r="AP5" s="336"/>
      <c r="AQ5" s="336"/>
      <c r="AR5" s="336"/>
      <c r="AS5" s="336"/>
      <c r="AT5" s="336"/>
      <c r="AU5" s="336"/>
      <c r="AV5" s="336"/>
      <c r="AW5" s="336"/>
      <c r="AX5" s="336"/>
      <c r="AY5" s="336"/>
      <c r="AZ5" s="336"/>
      <c r="BA5" s="336"/>
      <c r="BB5" s="336"/>
      <c r="BC5" s="336"/>
      <c r="BD5" s="336"/>
      <c r="BE5" s="336"/>
      <c r="BF5" s="336"/>
      <c r="BG5" s="336"/>
      <c r="BH5" s="336"/>
      <c r="BI5" s="336"/>
      <c r="BJ5" s="336"/>
      <c r="BK5" s="336"/>
      <c r="BL5" s="336"/>
      <c r="BM5" s="336"/>
      <c r="BN5" s="336"/>
      <c r="BO5" s="336"/>
      <c r="BP5" s="336"/>
      <c r="BQ5" s="336"/>
      <c r="BR5" s="336"/>
      <c r="BS5" s="336"/>
      <c r="BT5" s="336"/>
      <c r="BU5" s="336"/>
      <c r="BV5" s="336"/>
      <c r="BW5" s="336"/>
      <c r="BX5" s="336"/>
      <c r="BY5" s="336"/>
      <c r="BZ5" s="336"/>
      <c r="CA5" s="336"/>
      <c r="CB5" s="336"/>
      <c r="CC5" s="336"/>
      <c r="CD5" s="336"/>
      <c r="CE5" s="336"/>
      <c r="CF5" s="336"/>
      <c r="CG5" s="336"/>
      <c r="CH5" s="336"/>
      <c r="CI5" s="336"/>
      <c r="CJ5" s="336"/>
      <c r="CK5" s="336"/>
      <c r="CL5" s="336"/>
      <c r="CM5" s="336"/>
      <c r="CN5" s="336"/>
      <c r="CO5" s="336"/>
      <c r="CP5" s="336"/>
      <c r="CQ5" s="336"/>
      <c r="CR5" s="336"/>
      <c r="CS5" s="336"/>
      <c r="CT5" s="336"/>
      <c r="CU5" s="336"/>
      <c r="CV5" s="336"/>
      <c r="CW5" s="336"/>
      <c r="CX5" s="336"/>
      <c r="CY5" s="336"/>
      <c r="CZ5" s="336"/>
      <c r="DA5" s="336"/>
      <c r="DB5" s="336"/>
      <c r="DC5" s="336"/>
      <c r="DD5" s="336"/>
      <c r="DE5" s="336"/>
      <c r="DF5" s="336"/>
      <c r="DG5" s="336"/>
      <c r="DH5" s="336"/>
      <c r="DI5" s="336"/>
      <c r="DJ5" s="336"/>
      <c r="DK5" s="336"/>
      <c r="DL5" s="336"/>
      <c r="DM5" s="336"/>
      <c r="DN5" s="336"/>
      <c r="DO5" s="336"/>
      <c r="DP5" s="336"/>
      <c r="DQ5" s="336"/>
      <c r="DR5" s="336"/>
      <c r="DS5" s="336"/>
      <c r="DT5" s="336"/>
      <c r="DU5" s="336"/>
      <c r="DV5" s="336"/>
      <c r="DW5" s="336"/>
      <c r="DX5" s="336"/>
      <c r="DY5" s="336"/>
    </row>
    <row r="6" spans="1:132" ht="19.95" customHeight="1" x14ac:dyDescent="0.45">
      <c r="A6" s="450" t="s">
        <v>475</v>
      </c>
      <c r="B6" s="436"/>
      <c r="C6" s="436"/>
      <c r="D6" s="436"/>
      <c r="E6" s="436"/>
      <c r="F6" s="436"/>
      <c r="G6" s="436"/>
      <c r="H6" s="436"/>
      <c r="I6" s="436"/>
      <c r="J6" s="436" t="s">
        <v>501</v>
      </c>
      <c r="K6" s="436"/>
      <c r="L6" s="436"/>
      <c r="M6" s="436"/>
      <c r="N6" s="436"/>
      <c r="O6" s="436"/>
      <c r="P6" s="436"/>
      <c r="Q6" s="436"/>
      <c r="R6" s="436"/>
      <c r="S6" s="436"/>
      <c r="T6" s="436"/>
      <c r="U6" s="436"/>
      <c r="V6" s="436"/>
      <c r="W6" s="436"/>
      <c r="X6" s="436"/>
      <c r="Y6" s="436"/>
      <c r="Z6" s="436"/>
      <c r="AA6" s="436"/>
      <c r="AB6" s="436"/>
      <c r="AC6" s="436"/>
      <c r="AD6" s="436"/>
      <c r="AE6" s="436"/>
      <c r="AF6" s="436" t="s">
        <v>476</v>
      </c>
      <c r="AG6" s="436"/>
      <c r="AH6" s="436"/>
      <c r="AI6" s="436"/>
      <c r="AJ6" s="436"/>
      <c r="AK6" s="436"/>
      <c r="AL6" s="436"/>
      <c r="AM6" s="436"/>
      <c r="AN6" s="436"/>
      <c r="AO6" s="436"/>
      <c r="AP6" s="436"/>
      <c r="AQ6" s="451"/>
      <c r="AR6" s="451"/>
      <c r="AS6" s="451"/>
      <c r="AT6" s="451"/>
      <c r="AU6" s="451"/>
      <c r="AV6" s="451"/>
      <c r="AW6" s="451"/>
      <c r="AX6" s="451"/>
      <c r="AY6" s="451"/>
      <c r="AZ6" s="443"/>
      <c r="BA6" s="452" t="s">
        <v>477</v>
      </c>
      <c r="BB6" s="453"/>
      <c r="BC6" s="453"/>
      <c r="BD6" s="453"/>
      <c r="BE6" s="454" t="s">
        <v>478</v>
      </c>
      <c r="BF6" s="454"/>
      <c r="BG6" s="454"/>
      <c r="BH6" s="454"/>
      <c r="BI6" s="454"/>
      <c r="BJ6" s="454"/>
      <c r="BK6" s="454"/>
      <c r="BL6" s="454"/>
      <c r="BM6" s="454"/>
      <c r="BN6" s="454"/>
      <c r="BO6" s="454"/>
      <c r="BP6" s="451"/>
      <c r="BQ6" s="451"/>
      <c r="BR6" s="451"/>
      <c r="BS6" s="451"/>
      <c r="BT6" s="451"/>
      <c r="BU6" s="451"/>
      <c r="BV6" s="451"/>
      <c r="BW6" s="451"/>
      <c r="BX6" s="443"/>
      <c r="BY6" s="435" t="s">
        <v>479</v>
      </c>
      <c r="BZ6" s="436"/>
      <c r="CA6" s="436"/>
      <c r="CB6" s="436"/>
      <c r="CC6" s="436"/>
      <c r="CD6" s="437" t="s">
        <v>480</v>
      </c>
      <c r="CE6" s="438"/>
      <c r="CF6" s="438"/>
      <c r="CG6" s="438"/>
      <c r="CH6" s="438"/>
      <c r="CI6" s="438"/>
      <c r="CJ6" s="438"/>
      <c r="CK6" s="439"/>
      <c r="CL6" s="440"/>
      <c r="CM6" s="441"/>
      <c r="CN6" s="441"/>
      <c r="CO6" s="441"/>
      <c r="CP6" s="441"/>
      <c r="CQ6" s="441"/>
      <c r="CR6" s="441"/>
      <c r="CS6" s="441"/>
      <c r="CT6" s="441"/>
      <c r="CU6" s="441"/>
      <c r="CV6" s="442"/>
      <c r="CW6" s="436" t="s">
        <v>481</v>
      </c>
      <c r="CX6" s="436"/>
      <c r="CY6" s="436"/>
      <c r="CZ6" s="436"/>
      <c r="DA6" s="436"/>
      <c r="DB6" s="436"/>
      <c r="DC6" s="436"/>
      <c r="DD6" s="436"/>
      <c r="DE6" s="436"/>
      <c r="DF6" s="436"/>
      <c r="DG6" s="436"/>
      <c r="DH6" s="436"/>
      <c r="DI6" s="436"/>
      <c r="DJ6" s="443">
        <v>2</v>
      </c>
      <c r="DK6" s="444"/>
      <c r="DL6" s="444"/>
      <c r="DM6" s="444"/>
      <c r="DN6" s="444"/>
      <c r="DO6" s="444"/>
      <c r="DP6" s="444"/>
      <c r="DQ6" s="444"/>
      <c r="DR6" s="444"/>
      <c r="DS6" s="444"/>
      <c r="DT6" s="444"/>
      <c r="DU6" s="435" t="s">
        <v>482</v>
      </c>
      <c r="DV6" s="436"/>
      <c r="DW6" s="436"/>
      <c r="DX6" s="436"/>
      <c r="DY6" s="445"/>
    </row>
    <row r="7" spans="1:132" ht="19.95" customHeight="1" thickBot="1" x14ac:dyDescent="0.45">
      <c r="A7" s="464" t="s">
        <v>517</v>
      </c>
      <c r="B7" s="460"/>
      <c r="C7" s="460"/>
      <c r="D7" s="460"/>
      <c r="E7" s="460"/>
      <c r="F7" s="460"/>
      <c r="G7" s="460"/>
      <c r="H7" s="460"/>
      <c r="I7" s="460"/>
      <c r="J7" s="460" t="s">
        <v>582</v>
      </c>
      <c r="K7" s="460"/>
      <c r="L7" s="460"/>
      <c r="M7" s="460"/>
      <c r="N7" s="460"/>
      <c r="O7" s="460"/>
      <c r="P7" s="460"/>
      <c r="Q7" s="460"/>
      <c r="R7" s="460"/>
      <c r="S7" s="460"/>
      <c r="T7" s="460"/>
      <c r="U7" s="460"/>
      <c r="V7" s="460"/>
      <c r="W7" s="460"/>
      <c r="X7" s="460"/>
      <c r="Y7" s="460"/>
      <c r="Z7" s="460"/>
      <c r="AA7" s="460"/>
      <c r="AB7" s="460"/>
      <c r="AC7" s="460"/>
      <c r="AD7" s="460"/>
      <c r="AE7" s="460"/>
      <c r="AF7" s="460" t="s">
        <v>483</v>
      </c>
      <c r="AG7" s="460"/>
      <c r="AH7" s="460"/>
      <c r="AI7" s="460"/>
      <c r="AJ7" s="460"/>
      <c r="AK7" s="460"/>
      <c r="AL7" s="460"/>
      <c r="AM7" s="460"/>
      <c r="AN7" s="460"/>
      <c r="AO7" s="460"/>
      <c r="AP7" s="460"/>
      <c r="AQ7" s="459" t="s">
        <v>527</v>
      </c>
      <c r="AR7" s="465"/>
      <c r="AS7" s="465"/>
      <c r="AT7" s="465"/>
      <c r="AU7" s="465"/>
      <c r="AV7" s="465"/>
      <c r="AW7" s="465"/>
      <c r="AX7" s="465"/>
      <c r="AY7" s="465"/>
      <c r="AZ7" s="465"/>
      <c r="BA7" s="465"/>
      <c r="BB7" s="465"/>
      <c r="BC7" s="465"/>
      <c r="BD7" s="466"/>
      <c r="BE7" s="455" t="s">
        <v>528</v>
      </c>
      <c r="BF7" s="456"/>
      <c r="BG7" s="456"/>
      <c r="BH7" s="456"/>
      <c r="BI7" s="456"/>
      <c r="BJ7" s="456"/>
      <c r="BK7" s="456"/>
      <c r="BL7" s="456"/>
      <c r="BM7" s="456"/>
      <c r="BN7" s="456"/>
      <c r="BO7" s="457"/>
      <c r="BP7" s="467" t="s">
        <v>529</v>
      </c>
      <c r="BQ7" s="468"/>
      <c r="BR7" s="468"/>
      <c r="BS7" s="468"/>
      <c r="BT7" s="468"/>
      <c r="BU7" s="468"/>
      <c r="BV7" s="468"/>
      <c r="BW7" s="468"/>
      <c r="BX7" s="468"/>
      <c r="BY7" s="468"/>
      <c r="BZ7" s="468"/>
      <c r="CA7" s="468"/>
      <c r="CB7" s="468"/>
      <c r="CC7" s="469"/>
      <c r="CD7" s="455" t="s">
        <v>484</v>
      </c>
      <c r="CE7" s="456"/>
      <c r="CF7" s="456"/>
      <c r="CG7" s="456"/>
      <c r="CH7" s="456"/>
      <c r="CI7" s="456"/>
      <c r="CJ7" s="456"/>
      <c r="CK7" s="457"/>
      <c r="CL7" s="458">
        <v>6</v>
      </c>
      <c r="CM7" s="458"/>
      <c r="CN7" s="458"/>
      <c r="CO7" s="458"/>
      <c r="CP7" s="458"/>
      <c r="CQ7" s="458"/>
      <c r="CR7" s="458"/>
      <c r="CS7" s="459"/>
      <c r="CT7" s="457" t="s">
        <v>485</v>
      </c>
      <c r="CU7" s="460"/>
      <c r="CV7" s="460"/>
      <c r="CW7" s="455" t="s">
        <v>486</v>
      </c>
      <c r="CX7" s="456"/>
      <c r="CY7" s="456"/>
      <c r="CZ7" s="456"/>
      <c r="DA7" s="456"/>
      <c r="DB7" s="456"/>
      <c r="DC7" s="456"/>
      <c r="DD7" s="456"/>
      <c r="DE7" s="456"/>
      <c r="DF7" s="456"/>
      <c r="DG7" s="456"/>
      <c r="DH7" s="456"/>
      <c r="DI7" s="457"/>
      <c r="DJ7" s="461">
        <f>CH52</f>
        <v>0</v>
      </c>
      <c r="DK7" s="462"/>
      <c r="DL7" s="462"/>
      <c r="DM7" s="462"/>
      <c r="DN7" s="462"/>
      <c r="DO7" s="462"/>
      <c r="DP7" s="462"/>
      <c r="DQ7" s="462"/>
      <c r="DR7" s="462"/>
      <c r="DS7" s="462"/>
      <c r="DT7" s="462"/>
      <c r="DU7" s="457" t="s">
        <v>487</v>
      </c>
      <c r="DV7" s="460"/>
      <c r="DW7" s="460"/>
      <c r="DX7" s="460"/>
      <c r="DY7" s="463"/>
    </row>
    <row r="8" spans="1:132" ht="19.95" customHeight="1" x14ac:dyDescent="0.4">
      <c r="A8" s="326"/>
      <c r="B8" s="326"/>
      <c r="C8" s="326"/>
      <c r="D8" s="326"/>
      <c r="E8" s="326"/>
      <c r="F8" s="326"/>
      <c r="G8" s="326"/>
      <c r="H8" s="326"/>
      <c r="I8" s="326"/>
      <c r="J8" s="326"/>
      <c r="K8" s="326"/>
      <c r="L8" s="326"/>
      <c r="M8" s="326"/>
      <c r="N8" s="326"/>
      <c r="O8" s="326"/>
      <c r="P8" s="326"/>
      <c r="Q8" s="326"/>
      <c r="R8" s="326"/>
      <c r="S8" s="326"/>
      <c r="T8" s="326"/>
      <c r="U8" s="326"/>
      <c r="V8" s="326"/>
      <c r="W8" s="326"/>
      <c r="X8" s="326"/>
      <c r="Y8" s="326"/>
      <c r="Z8" s="326"/>
      <c r="AA8" s="326"/>
      <c r="AB8" s="326"/>
      <c r="AC8" s="326"/>
      <c r="AD8" s="326"/>
      <c r="AE8" s="326"/>
      <c r="AF8" s="326"/>
      <c r="AG8" s="326"/>
      <c r="AH8" s="326"/>
      <c r="AI8" s="326"/>
      <c r="AJ8" s="326"/>
      <c r="AK8" s="326"/>
      <c r="AL8" s="326"/>
      <c r="AM8" s="326"/>
      <c r="AN8" s="326"/>
      <c r="AO8" s="326"/>
      <c r="AP8" s="326"/>
      <c r="AQ8" s="326"/>
      <c r="AR8" s="326"/>
      <c r="AS8" s="326"/>
      <c r="AT8" s="326"/>
      <c r="AU8" s="326"/>
      <c r="AV8" s="326"/>
      <c r="AW8" s="326"/>
      <c r="AX8" s="326"/>
      <c r="AY8" s="326"/>
      <c r="AZ8" s="326"/>
      <c r="BA8" s="326"/>
      <c r="BB8" s="326"/>
      <c r="BC8" s="326"/>
      <c r="BD8" s="326"/>
      <c r="BE8" s="326"/>
      <c r="BF8" s="326"/>
      <c r="BG8" s="326"/>
      <c r="BH8" s="326"/>
      <c r="BI8" s="326"/>
      <c r="BJ8" s="326"/>
      <c r="BK8" s="326"/>
      <c r="BL8" s="326"/>
      <c r="BM8" s="326"/>
      <c r="BN8" s="326"/>
      <c r="BO8" s="326"/>
      <c r="BP8" s="326"/>
      <c r="BQ8" s="326"/>
      <c r="BR8" s="326"/>
      <c r="CR8" s="326"/>
      <c r="CS8" s="326"/>
      <c r="DG8" s="326"/>
      <c r="DH8" s="326"/>
      <c r="DI8" s="326"/>
      <c r="DJ8" s="326"/>
      <c r="DK8" s="326"/>
      <c r="DL8" s="326"/>
      <c r="DM8" s="326"/>
      <c r="DN8" s="326"/>
      <c r="DO8" s="326"/>
      <c r="DP8" s="326"/>
      <c r="DQ8" s="326"/>
      <c r="DR8" s="326"/>
      <c r="DS8" s="326"/>
      <c r="DT8" s="326"/>
      <c r="DU8" s="326"/>
      <c r="DV8" s="326"/>
      <c r="DW8" s="326"/>
      <c r="DX8" s="326"/>
      <c r="DY8" s="326"/>
    </row>
    <row r="9" spans="1:132" ht="25.05" customHeight="1" x14ac:dyDescent="0.4">
      <c r="A9" s="448" t="s">
        <v>488</v>
      </c>
      <c r="B9" s="449"/>
      <c r="C9" s="449"/>
      <c r="D9" s="449"/>
      <c r="E9" s="449"/>
      <c r="F9" s="449"/>
      <c r="G9" s="449"/>
      <c r="H9" s="449"/>
      <c r="I9" s="449"/>
      <c r="J9" s="449"/>
      <c r="K9" s="449"/>
      <c r="L9" s="449"/>
      <c r="M9" s="449"/>
      <c r="N9" s="449"/>
      <c r="O9" s="449"/>
      <c r="P9" s="449"/>
      <c r="Q9" s="449"/>
      <c r="R9" s="449"/>
      <c r="S9" s="449"/>
      <c r="T9" s="449"/>
      <c r="U9" s="449"/>
      <c r="V9" s="449"/>
      <c r="W9" s="449"/>
      <c r="X9" s="449"/>
      <c r="Y9" s="449"/>
      <c r="Z9" s="449"/>
      <c r="AA9" s="449"/>
      <c r="AB9" s="449"/>
      <c r="AC9" s="449"/>
      <c r="AD9" s="449"/>
      <c r="AE9" s="449"/>
      <c r="AF9" s="449"/>
      <c r="AG9" s="449"/>
      <c r="AH9" s="449"/>
      <c r="AI9" s="449"/>
      <c r="AJ9" s="449"/>
      <c r="AK9" s="449"/>
      <c r="AL9" s="449"/>
      <c r="AM9" s="449"/>
      <c r="AN9" s="449"/>
      <c r="AO9" s="449"/>
      <c r="AP9" s="449"/>
      <c r="AQ9" s="449"/>
      <c r="AR9" s="449"/>
      <c r="AS9" s="449"/>
      <c r="AT9" s="449"/>
      <c r="AU9" s="449"/>
      <c r="AV9" s="449"/>
      <c r="AW9" s="449"/>
      <c r="AX9" s="449"/>
      <c r="AY9" s="449"/>
      <c r="AZ9" s="449"/>
      <c r="BA9" s="449"/>
      <c r="BB9" s="449"/>
      <c r="BC9" s="449"/>
      <c r="BD9" s="449"/>
      <c r="BE9" s="449"/>
      <c r="BF9" s="449"/>
      <c r="BG9" s="449"/>
      <c r="BH9" s="449"/>
      <c r="BI9" s="449"/>
      <c r="BJ9" s="449"/>
      <c r="BK9" s="449"/>
      <c r="BL9" s="449"/>
      <c r="BM9" s="329"/>
      <c r="BP9" s="449" t="s">
        <v>503</v>
      </c>
      <c r="BQ9" s="449"/>
      <c r="BR9" s="449"/>
      <c r="BS9" s="449"/>
      <c r="BT9" s="449"/>
      <c r="BU9" s="449"/>
      <c r="BV9" s="449"/>
      <c r="BW9" s="449"/>
      <c r="BX9" s="449"/>
      <c r="BY9" s="449"/>
      <c r="BZ9" s="449"/>
      <c r="CA9" s="449"/>
      <c r="CB9" s="449"/>
      <c r="CC9" s="449"/>
      <c r="CD9" s="449"/>
      <c r="CE9" s="449"/>
      <c r="CF9" s="449"/>
      <c r="CG9" s="449"/>
      <c r="CH9" s="449"/>
      <c r="CI9" s="449"/>
      <c r="CJ9" s="449"/>
      <c r="CK9" s="449"/>
      <c r="CL9" s="449"/>
      <c r="CM9" s="449"/>
      <c r="CN9" s="449"/>
      <c r="CO9" s="449"/>
      <c r="CP9" s="449"/>
      <c r="CQ9" s="449"/>
      <c r="CR9" s="449"/>
      <c r="CS9" s="449"/>
      <c r="CT9" s="449"/>
      <c r="CU9" s="449"/>
      <c r="CV9" s="449"/>
      <c r="CW9" s="449"/>
      <c r="CX9" s="449"/>
      <c r="CY9" s="449"/>
      <c r="CZ9" s="449"/>
      <c r="DA9" s="449"/>
      <c r="DB9" s="449"/>
      <c r="DC9" s="449"/>
      <c r="DD9" s="449"/>
      <c r="DE9" s="449"/>
      <c r="DF9" s="449"/>
      <c r="DG9" s="449"/>
      <c r="DH9" s="449"/>
      <c r="DI9" s="449"/>
      <c r="DJ9" s="449"/>
      <c r="DK9" s="449"/>
      <c r="DL9" s="449"/>
      <c r="DM9" s="449"/>
      <c r="DN9" s="449"/>
      <c r="DO9" s="449"/>
      <c r="DP9" s="449"/>
      <c r="DQ9" s="449"/>
      <c r="DR9" s="449"/>
      <c r="DS9" s="449"/>
      <c r="DT9" s="449"/>
      <c r="DU9" s="449"/>
      <c r="DV9" s="449"/>
      <c r="DW9" s="449"/>
      <c r="DX9" s="449"/>
      <c r="DY9" s="449"/>
    </row>
    <row r="10" spans="1:132" ht="10.050000000000001" customHeight="1" thickBot="1" x14ac:dyDescent="0.45">
      <c r="A10" s="331"/>
      <c r="B10" s="331"/>
      <c r="C10" s="331"/>
      <c r="D10" s="331"/>
      <c r="E10" s="326"/>
      <c r="F10" s="326"/>
      <c r="G10" s="326"/>
      <c r="H10" s="326"/>
      <c r="I10" s="326"/>
      <c r="J10" s="326"/>
      <c r="K10" s="326"/>
      <c r="L10" s="326"/>
      <c r="M10" s="326"/>
      <c r="N10" s="326"/>
      <c r="O10" s="326"/>
      <c r="P10" s="326"/>
      <c r="Q10" s="326"/>
      <c r="R10" s="326"/>
      <c r="S10" s="326"/>
      <c r="T10" s="326"/>
      <c r="U10" s="326"/>
      <c r="V10" s="326"/>
      <c r="W10" s="326"/>
      <c r="X10" s="326"/>
      <c r="Y10" s="326"/>
      <c r="Z10" s="326"/>
      <c r="AA10" s="326"/>
      <c r="AB10" s="326"/>
      <c r="AC10" s="326"/>
      <c r="AD10" s="326"/>
      <c r="AE10" s="326"/>
      <c r="AF10" s="326"/>
      <c r="AG10" s="326"/>
      <c r="AH10" s="326"/>
      <c r="AI10" s="326"/>
      <c r="AJ10" s="326"/>
      <c r="AK10" s="326"/>
      <c r="AL10" s="326"/>
      <c r="AM10" s="326"/>
      <c r="AN10" s="326"/>
      <c r="AO10" s="326"/>
      <c r="AP10" s="326"/>
      <c r="AQ10" s="326"/>
      <c r="AR10" s="326"/>
      <c r="AS10" s="326"/>
      <c r="AT10" s="326"/>
      <c r="AU10" s="326"/>
      <c r="AV10" s="326"/>
      <c r="AW10" s="326"/>
      <c r="AX10" s="326"/>
      <c r="AY10" s="326"/>
      <c r="AZ10" s="326"/>
      <c r="BA10" s="326"/>
      <c r="BB10" s="326"/>
      <c r="BC10" s="326"/>
      <c r="BD10" s="326"/>
      <c r="BE10" s="326"/>
      <c r="BF10" s="326"/>
      <c r="BG10" s="326"/>
      <c r="BH10" s="326"/>
      <c r="BI10" s="326"/>
      <c r="BJ10" s="326"/>
      <c r="BK10" s="326"/>
      <c r="BL10" s="326"/>
      <c r="BM10" s="326"/>
      <c r="BN10" s="326"/>
      <c r="BO10" s="326"/>
      <c r="BP10" s="326"/>
      <c r="BQ10" s="326"/>
      <c r="BR10" s="326"/>
      <c r="BS10" s="326"/>
      <c r="BT10" s="326"/>
      <c r="BU10" s="326"/>
      <c r="BV10" s="326"/>
      <c r="BW10" s="326"/>
      <c r="BX10" s="326"/>
      <c r="BY10" s="326"/>
      <c r="BZ10" s="326"/>
      <c r="CA10" s="326"/>
      <c r="CB10" s="326"/>
      <c r="CC10" s="326"/>
      <c r="CD10" s="326"/>
      <c r="CE10" s="326"/>
      <c r="CF10" s="326"/>
      <c r="CG10" s="326"/>
      <c r="CH10" s="326"/>
      <c r="CI10" s="326"/>
      <c r="CJ10" s="326"/>
      <c r="CK10" s="326"/>
      <c r="CL10" s="326"/>
      <c r="CM10" s="326"/>
      <c r="CN10" s="326"/>
      <c r="CO10" s="326"/>
      <c r="CP10" s="326"/>
      <c r="CQ10" s="326"/>
      <c r="CR10" s="326"/>
      <c r="CS10" s="326"/>
      <c r="CT10" s="326"/>
      <c r="CU10" s="326"/>
      <c r="CV10" s="326"/>
      <c r="CW10" s="326"/>
      <c r="CX10" s="326"/>
      <c r="CY10" s="326"/>
      <c r="CZ10" s="326"/>
      <c r="DA10" s="326"/>
      <c r="DB10" s="326"/>
      <c r="DC10" s="326"/>
      <c r="DD10" s="326"/>
      <c r="DE10" s="326"/>
      <c r="DF10" s="326"/>
      <c r="DG10" s="326"/>
      <c r="DH10" s="326"/>
      <c r="DI10" s="326"/>
      <c r="DJ10" s="326"/>
      <c r="DK10" s="326"/>
      <c r="DL10" s="326"/>
      <c r="DM10" s="326"/>
      <c r="DN10" s="326"/>
      <c r="DO10" s="326"/>
      <c r="DP10" s="326"/>
      <c r="DQ10" s="326"/>
      <c r="DR10" s="326"/>
      <c r="DS10" s="326"/>
      <c r="DT10" s="326"/>
      <c r="DU10" s="326"/>
      <c r="DV10" s="326"/>
      <c r="DW10" s="326"/>
      <c r="DX10" s="326"/>
      <c r="DY10" s="326"/>
    </row>
    <row r="11" spans="1:132" ht="19.95" customHeight="1" x14ac:dyDescent="0.4">
      <c r="A11" s="477" t="s">
        <v>505</v>
      </c>
      <c r="B11" s="478"/>
      <c r="C11" s="478"/>
      <c r="D11" s="479"/>
      <c r="E11" s="483" t="s">
        <v>415</v>
      </c>
      <c r="F11" s="478"/>
      <c r="G11" s="478"/>
      <c r="H11" s="478"/>
      <c r="I11" s="478"/>
      <c r="J11" s="478"/>
      <c r="K11" s="478"/>
      <c r="L11" s="478"/>
      <c r="M11" s="478"/>
      <c r="N11" s="478"/>
      <c r="O11" s="479"/>
      <c r="P11" s="483" t="s">
        <v>402</v>
      </c>
      <c r="Q11" s="478"/>
      <c r="R11" s="478"/>
      <c r="S11" s="478"/>
      <c r="T11" s="478"/>
      <c r="U11" s="478"/>
      <c r="V11" s="478"/>
      <c r="W11" s="478"/>
      <c r="X11" s="478"/>
      <c r="Y11" s="479"/>
      <c r="Z11" s="485" t="s">
        <v>492</v>
      </c>
      <c r="AA11" s="486"/>
      <c r="AB11" s="486"/>
      <c r="AC11" s="486"/>
      <c r="AD11" s="486"/>
      <c r="AE11" s="486"/>
      <c r="AF11" s="486"/>
      <c r="AG11" s="486"/>
      <c r="AH11" s="486"/>
      <c r="AI11" s="486"/>
      <c r="AJ11" s="486"/>
      <c r="AK11" s="487"/>
      <c r="AL11" s="485" t="s">
        <v>493</v>
      </c>
      <c r="AM11" s="486"/>
      <c r="AN11" s="486"/>
      <c r="AO11" s="486"/>
      <c r="AP11" s="486"/>
      <c r="AQ11" s="486"/>
      <c r="AR11" s="486"/>
      <c r="AS11" s="486"/>
      <c r="AT11" s="486"/>
      <c r="AU11" s="486"/>
      <c r="AV11" s="486"/>
      <c r="AW11" s="486"/>
      <c r="AX11" s="487"/>
      <c r="AY11" s="491" t="s">
        <v>496</v>
      </c>
      <c r="AZ11" s="492"/>
      <c r="BA11" s="492"/>
      <c r="BB11" s="492"/>
      <c r="BC11" s="492"/>
      <c r="BD11" s="492"/>
      <c r="BE11" s="492"/>
      <c r="BF11" s="492"/>
      <c r="BG11" s="492"/>
      <c r="BH11" s="492"/>
      <c r="BI11" s="492"/>
      <c r="BJ11" s="492"/>
      <c r="BK11" s="492"/>
      <c r="BL11" s="493"/>
      <c r="BM11" s="326"/>
      <c r="BN11" s="326"/>
      <c r="BP11" s="497" t="s">
        <v>504</v>
      </c>
      <c r="BQ11" s="498"/>
      <c r="BR11" s="498"/>
      <c r="BS11" s="498"/>
      <c r="BT11" s="498"/>
      <c r="BU11" s="498"/>
      <c r="BV11" s="501" t="s">
        <v>432</v>
      </c>
      <c r="BW11" s="502"/>
      <c r="BX11" s="502"/>
      <c r="BY11" s="502"/>
      <c r="BZ11" s="502"/>
      <c r="CA11" s="502"/>
      <c r="CB11" s="502"/>
      <c r="CC11" s="502"/>
      <c r="CD11" s="470" t="s">
        <v>439</v>
      </c>
      <c r="CE11" s="471"/>
      <c r="CF11" s="471"/>
      <c r="CG11" s="471"/>
      <c r="CH11" s="471"/>
      <c r="CI11" s="471"/>
      <c r="CJ11" s="471"/>
      <c r="CK11" s="471"/>
      <c r="CL11" s="471"/>
      <c r="CM11" s="471"/>
      <c r="CN11" s="471"/>
      <c r="CO11" s="471"/>
      <c r="CP11" s="471"/>
      <c r="CQ11" s="471"/>
      <c r="CR11" s="471"/>
      <c r="CS11" s="471"/>
      <c r="CT11" s="471"/>
      <c r="CU11" s="471"/>
      <c r="CV11" s="471"/>
      <c r="CW11" s="471"/>
      <c r="CX11" s="471"/>
      <c r="CY11" s="471"/>
      <c r="CZ11" s="471"/>
      <c r="DA11" s="471"/>
      <c r="DB11" s="471"/>
      <c r="DC11" s="471"/>
      <c r="DD11" s="471"/>
      <c r="DE11" s="471"/>
      <c r="DF11" s="471"/>
      <c r="DG11" s="471"/>
      <c r="DH11" s="471"/>
      <c r="DI11" s="471"/>
      <c r="DJ11" s="471"/>
      <c r="DK11" s="471"/>
      <c r="DL11" s="471"/>
      <c r="DM11" s="471"/>
      <c r="DN11" s="471"/>
      <c r="DO11" s="471"/>
      <c r="DP11" s="471"/>
      <c r="DQ11" s="471"/>
      <c r="DR11" s="471"/>
      <c r="DS11" s="471"/>
      <c r="DT11" s="471"/>
      <c r="DU11" s="471"/>
      <c r="DV11" s="471"/>
      <c r="DW11" s="471"/>
      <c r="DX11" s="471"/>
      <c r="DY11" s="472"/>
    </row>
    <row r="12" spans="1:132" ht="19.95" customHeight="1" x14ac:dyDescent="0.4">
      <c r="A12" s="480"/>
      <c r="B12" s="481"/>
      <c r="C12" s="481"/>
      <c r="D12" s="482"/>
      <c r="E12" s="484"/>
      <c r="F12" s="481"/>
      <c r="G12" s="481"/>
      <c r="H12" s="481"/>
      <c r="I12" s="481"/>
      <c r="J12" s="481"/>
      <c r="K12" s="481"/>
      <c r="L12" s="481"/>
      <c r="M12" s="481"/>
      <c r="N12" s="481"/>
      <c r="O12" s="482"/>
      <c r="P12" s="484"/>
      <c r="Q12" s="481"/>
      <c r="R12" s="481"/>
      <c r="S12" s="481"/>
      <c r="T12" s="481"/>
      <c r="U12" s="481"/>
      <c r="V12" s="481"/>
      <c r="W12" s="481"/>
      <c r="X12" s="481"/>
      <c r="Y12" s="482"/>
      <c r="Z12" s="488"/>
      <c r="AA12" s="489"/>
      <c r="AB12" s="489"/>
      <c r="AC12" s="489"/>
      <c r="AD12" s="489"/>
      <c r="AE12" s="489"/>
      <c r="AF12" s="489"/>
      <c r="AG12" s="489"/>
      <c r="AH12" s="489"/>
      <c r="AI12" s="489"/>
      <c r="AJ12" s="489"/>
      <c r="AK12" s="490"/>
      <c r="AL12" s="488"/>
      <c r="AM12" s="489"/>
      <c r="AN12" s="489"/>
      <c r="AO12" s="489"/>
      <c r="AP12" s="489"/>
      <c r="AQ12" s="489"/>
      <c r="AR12" s="489"/>
      <c r="AS12" s="489"/>
      <c r="AT12" s="489"/>
      <c r="AU12" s="489"/>
      <c r="AV12" s="489"/>
      <c r="AW12" s="489"/>
      <c r="AX12" s="490"/>
      <c r="AY12" s="494"/>
      <c r="AZ12" s="495"/>
      <c r="BA12" s="495"/>
      <c r="BB12" s="495"/>
      <c r="BC12" s="495"/>
      <c r="BD12" s="495"/>
      <c r="BE12" s="495"/>
      <c r="BF12" s="495"/>
      <c r="BG12" s="495"/>
      <c r="BH12" s="495"/>
      <c r="BI12" s="495"/>
      <c r="BJ12" s="495"/>
      <c r="BK12" s="495"/>
      <c r="BL12" s="496"/>
      <c r="BM12" s="326"/>
      <c r="BN12" s="326"/>
      <c r="BP12" s="499"/>
      <c r="BQ12" s="500"/>
      <c r="BR12" s="500"/>
      <c r="BS12" s="500"/>
      <c r="BT12" s="500"/>
      <c r="BU12" s="500"/>
      <c r="BV12" s="503"/>
      <c r="BW12" s="503"/>
      <c r="BX12" s="503"/>
      <c r="BY12" s="503"/>
      <c r="BZ12" s="503"/>
      <c r="CA12" s="503"/>
      <c r="CB12" s="503"/>
      <c r="CC12" s="503"/>
      <c r="CD12" s="473" t="s">
        <v>434</v>
      </c>
      <c r="CE12" s="474"/>
      <c r="CF12" s="474"/>
      <c r="CG12" s="474"/>
      <c r="CH12" s="474"/>
      <c r="CI12" s="474"/>
      <c r="CJ12" s="474"/>
      <c r="CK12" s="474"/>
      <c r="CL12" s="475"/>
      <c r="CM12" s="474" t="s">
        <v>435</v>
      </c>
      <c r="CN12" s="474"/>
      <c r="CO12" s="474"/>
      <c r="CP12" s="474"/>
      <c r="CQ12" s="474"/>
      <c r="CR12" s="474"/>
      <c r="CS12" s="474"/>
      <c r="CT12" s="474"/>
      <c r="CU12" s="474"/>
      <c r="CV12" s="475"/>
      <c r="CW12" s="474" t="s">
        <v>436</v>
      </c>
      <c r="CX12" s="474"/>
      <c r="CY12" s="474"/>
      <c r="CZ12" s="474"/>
      <c r="DA12" s="474"/>
      <c r="DB12" s="474"/>
      <c r="DC12" s="474"/>
      <c r="DD12" s="474"/>
      <c r="DE12" s="474"/>
      <c r="DF12" s="475"/>
      <c r="DG12" s="474" t="s">
        <v>437</v>
      </c>
      <c r="DH12" s="474"/>
      <c r="DI12" s="474"/>
      <c r="DJ12" s="474"/>
      <c r="DK12" s="474"/>
      <c r="DL12" s="474"/>
      <c r="DM12" s="474"/>
      <c r="DN12" s="474"/>
      <c r="DO12" s="474"/>
      <c r="DP12" s="475"/>
      <c r="DQ12" s="474" t="s">
        <v>506</v>
      </c>
      <c r="DR12" s="474"/>
      <c r="DS12" s="474"/>
      <c r="DT12" s="474"/>
      <c r="DU12" s="474"/>
      <c r="DV12" s="474"/>
      <c r="DW12" s="474"/>
      <c r="DX12" s="474"/>
      <c r="DY12" s="476"/>
    </row>
    <row r="13" spans="1:132" ht="19.95" customHeight="1" x14ac:dyDescent="0.4">
      <c r="A13" s="383">
        <v>1</v>
      </c>
      <c r="B13" s="388"/>
      <c r="C13" s="388"/>
      <c r="D13" s="388"/>
      <c r="E13" s="390" t="s">
        <v>416</v>
      </c>
      <c r="F13" s="390"/>
      <c r="G13" s="390"/>
      <c r="H13" s="390"/>
      <c r="I13" s="390"/>
      <c r="J13" s="390"/>
      <c r="K13" s="390"/>
      <c r="L13" s="390"/>
      <c r="M13" s="390"/>
      <c r="N13" s="390"/>
      <c r="O13" s="390"/>
      <c r="P13" s="390" t="s">
        <v>471</v>
      </c>
      <c r="Q13" s="390"/>
      <c r="R13" s="390"/>
      <c r="S13" s="390"/>
      <c r="T13" s="390"/>
      <c r="U13" s="390"/>
      <c r="V13" s="390"/>
      <c r="W13" s="390"/>
      <c r="X13" s="390"/>
      <c r="Y13" s="390"/>
      <c r="Z13" s="659">
        <v>175</v>
      </c>
      <c r="AA13" s="660"/>
      <c r="AB13" s="660"/>
      <c r="AC13" s="660"/>
      <c r="AD13" s="660"/>
      <c r="AE13" s="660"/>
      <c r="AF13" s="660"/>
      <c r="AG13" s="660"/>
      <c r="AH13" s="660"/>
      <c r="AI13" s="660"/>
      <c r="AJ13" s="660"/>
      <c r="AK13" s="661"/>
      <c r="AL13" s="520">
        <f>Z13*$DJ$6</f>
        <v>350</v>
      </c>
      <c r="AM13" s="521"/>
      <c r="AN13" s="521"/>
      <c r="AO13" s="521"/>
      <c r="AP13" s="521"/>
      <c r="AQ13" s="521"/>
      <c r="AR13" s="521"/>
      <c r="AS13" s="521"/>
      <c r="AT13" s="521"/>
      <c r="AU13" s="521"/>
      <c r="AV13" s="521"/>
      <c r="AW13" s="521"/>
      <c r="AX13" s="522"/>
      <c r="AY13" s="523">
        <v>200.56</v>
      </c>
      <c r="AZ13" s="524"/>
      <c r="BA13" s="524"/>
      <c r="BB13" s="524"/>
      <c r="BC13" s="524"/>
      <c r="BD13" s="524"/>
      <c r="BE13" s="524"/>
      <c r="BF13" s="524"/>
      <c r="BG13" s="524"/>
      <c r="BH13" s="524"/>
      <c r="BI13" s="524"/>
      <c r="BJ13" s="524"/>
      <c r="BK13" s="524"/>
      <c r="BL13" s="525"/>
      <c r="BM13" s="326"/>
      <c r="BN13" s="326"/>
      <c r="BP13" s="499">
        <v>1</v>
      </c>
      <c r="BQ13" s="500"/>
      <c r="BR13" s="500"/>
      <c r="BS13" s="500"/>
      <c r="BT13" s="500"/>
      <c r="BU13" s="500"/>
      <c r="BV13" s="514"/>
      <c r="BW13" s="514"/>
      <c r="BX13" s="514"/>
      <c r="BY13" s="514"/>
      <c r="BZ13" s="514"/>
      <c r="CA13" s="514"/>
      <c r="CB13" s="514"/>
      <c r="CC13" s="514"/>
      <c r="CD13" s="515"/>
      <c r="CE13" s="504"/>
      <c r="CF13" s="504"/>
      <c r="CG13" s="504"/>
      <c r="CH13" s="504"/>
      <c r="CI13" s="504"/>
      <c r="CJ13" s="504"/>
      <c r="CK13" s="504"/>
      <c r="CL13" s="516"/>
      <c r="CM13" s="504"/>
      <c r="CN13" s="504"/>
      <c r="CO13" s="504"/>
      <c r="CP13" s="504"/>
      <c r="CQ13" s="504"/>
      <c r="CR13" s="504"/>
      <c r="CS13" s="504"/>
      <c r="CT13" s="504"/>
      <c r="CU13" s="504"/>
      <c r="CV13" s="516"/>
      <c r="CW13" s="504"/>
      <c r="CX13" s="504"/>
      <c r="CY13" s="504"/>
      <c r="CZ13" s="504"/>
      <c r="DA13" s="504"/>
      <c r="DB13" s="504"/>
      <c r="DC13" s="504"/>
      <c r="DD13" s="504"/>
      <c r="DE13" s="504"/>
      <c r="DF13" s="516"/>
      <c r="DG13" s="504"/>
      <c r="DH13" s="504"/>
      <c r="DI13" s="504"/>
      <c r="DJ13" s="504"/>
      <c r="DK13" s="504"/>
      <c r="DL13" s="504"/>
      <c r="DM13" s="504"/>
      <c r="DN13" s="504"/>
      <c r="DO13" s="504"/>
      <c r="DP13" s="516"/>
      <c r="DQ13" s="504"/>
      <c r="DR13" s="504"/>
      <c r="DS13" s="504"/>
      <c r="DT13" s="504"/>
      <c r="DU13" s="504"/>
      <c r="DV13" s="504"/>
      <c r="DW13" s="504"/>
      <c r="DX13" s="504"/>
      <c r="DY13" s="505"/>
      <c r="EA13" s="322">
        <v>175</v>
      </c>
    </row>
    <row r="14" spans="1:132" ht="19.95" customHeight="1" x14ac:dyDescent="0.4">
      <c r="A14" s="383">
        <v>2</v>
      </c>
      <c r="B14" s="388"/>
      <c r="C14" s="388"/>
      <c r="D14" s="388"/>
      <c r="E14" s="390" t="s">
        <v>417</v>
      </c>
      <c r="F14" s="390"/>
      <c r="G14" s="390"/>
      <c r="H14" s="390"/>
      <c r="I14" s="390"/>
      <c r="J14" s="390"/>
      <c r="K14" s="390"/>
      <c r="L14" s="390"/>
      <c r="M14" s="390"/>
      <c r="N14" s="390"/>
      <c r="O14" s="390"/>
      <c r="P14" s="390" t="s">
        <v>470</v>
      </c>
      <c r="Q14" s="390"/>
      <c r="R14" s="390"/>
      <c r="S14" s="390"/>
      <c r="T14" s="390"/>
      <c r="U14" s="390"/>
      <c r="V14" s="390"/>
      <c r="W14" s="390"/>
      <c r="X14" s="390"/>
      <c r="Y14" s="390"/>
      <c r="Z14" s="650">
        <v>56.25</v>
      </c>
      <c r="AA14" s="651"/>
      <c r="AB14" s="651"/>
      <c r="AC14" s="651"/>
      <c r="AD14" s="651"/>
      <c r="AE14" s="651"/>
      <c r="AF14" s="651"/>
      <c r="AG14" s="651"/>
      <c r="AH14" s="651"/>
      <c r="AI14" s="651"/>
      <c r="AJ14" s="651"/>
      <c r="AK14" s="652"/>
      <c r="AL14" s="511">
        <f>Z14*$DJ$6</f>
        <v>112.5</v>
      </c>
      <c r="AM14" s="511"/>
      <c r="AN14" s="511"/>
      <c r="AO14" s="511"/>
      <c r="AP14" s="511"/>
      <c r="AQ14" s="511"/>
      <c r="AR14" s="511"/>
      <c r="AS14" s="511"/>
      <c r="AT14" s="511"/>
      <c r="AU14" s="511"/>
      <c r="AV14" s="511"/>
      <c r="AW14" s="511"/>
      <c r="AX14" s="511"/>
      <c r="AY14" s="512">
        <v>64.48</v>
      </c>
      <c r="AZ14" s="512"/>
      <c r="BA14" s="512"/>
      <c r="BB14" s="512"/>
      <c r="BC14" s="512"/>
      <c r="BD14" s="512"/>
      <c r="BE14" s="512"/>
      <c r="BF14" s="512"/>
      <c r="BG14" s="512"/>
      <c r="BH14" s="512"/>
      <c r="BI14" s="512"/>
      <c r="BJ14" s="512"/>
      <c r="BK14" s="512"/>
      <c r="BL14" s="513"/>
      <c r="BM14" s="326"/>
      <c r="BN14" s="326"/>
      <c r="BO14" s="326"/>
      <c r="BP14" s="499">
        <v>2</v>
      </c>
      <c r="BQ14" s="500"/>
      <c r="BR14" s="500"/>
      <c r="BS14" s="500"/>
      <c r="BT14" s="500"/>
      <c r="BU14" s="500"/>
      <c r="BV14" s="514"/>
      <c r="BW14" s="514"/>
      <c r="BX14" s="514"/>
      <c r="BY14" s="514"/>
      <c r="BZ14" s="514"/>
      <c r="CA14" s="514"/>
      <c r="CB14" s="514"/>
      <c r="CC14" s="514"/>
      <c r="CD14" s="515"/>
      <c r="CE14" s="504"/>
      <c r="CF14" s="504"/>
      <c r="CG14" s="504"/>
      <c r="CH14" s="504"/>
      <c r="CI14" s="504"/>
      <c r="CJ14" s="504"/>
      <c r="CK14" s="504"/>
      <c r="CL14" s="516"/>
      <c r="CM14" s="504"/>
      <c r="CN14" s="504"/>
      <c r="CO14" s="504"/>
      <c r="CP14" s="504"/>
      <c r="CQ14" s="504"/>
      <c r="CR14" s="504"/>
      <c r="CS14" s="504"/>
      <c r="CT14" s="504"/>
      <c r="CU14" s="504"/>
      <c r="CV14" s="516"/>
      <c r="CW14" s="504"/>
      <c r="CX14" s="504"/>
      <c r="CY14" s="504"/>
      <c r="CZ14" s="504"/>
      <c r="DA14" s="504"/>
      <c r="DB14" s="504"/>
      <c r="DC14" s="504"/>
      <c r="DD14" s="504"/>
      <c r="DE14" s="504"/>
      <c r="DF14" s="516"/>
      <c r="DG14" s="504"/>
      <c r="DH14" s="504"/>
      <c r="DI14" s="504"/>
      <c r="DJ14" s="504"/>
      <c r="DK14" s="504"/>
      <c r="DL14" s="504"/>
      <c r="DM14" s="504"/>
      <c r="DN14" s="504"/>
      <c r="DO14" s="504"/>
      <c r="DP14" s="516"/>
      <c r="DQ14" s="504"/>
      <c r="DR14" s="504"/>
      <c r="DS14" s="504"/>
      <c r="DT14" s="504"/>
      <c r="DU14" s="504"/>
      <c r="DV14" s="504"/>
      <c r="DW14" s="504"/>
      <c r="DX14" s="504"/>
      <c r="DY14" s="505"/>
      <c r="EA14" s="322">
        <v>56.25</v>
      </c>
      <c r="EB14" s="322">
        <f>1.45*1.5</f>
        <v>2.1749999999999998</v>
      </c>
    </row>
    <row r="15" spans="1:132" ht="19.95" customHeight="1" x14ac:dyDescent="0.4">
      <c r="A15" s="383">
        <v>3</v>
      </c>
      <c r="B15" s="388"/>
      <c r="C15" s="388"/>
      <c r="D15" s="388"/>
      <c r="E15" s="390" t="s">
        <v>418</v>
      </c>
      <c r="F15" s="390"/>
      <c r="G15" s="390"/>
      <c r="H15" s="390"/>
      <c r="I15" s="390"/>
      <c r="J15" s="390"/>
      <c r="K15" s="390"/>
      <c r="L15" s="390"/>
      <c r="M15" s="390"/>
      <c r="N15" s="390"/>
      <c r="O15" s="390"/>
      <c r="P15" s="390" t="s">
        <v>404</v>
      </c>
      <c r="Q15" s="390"/>
      <c r="R15" s="390"/>
      <c r="S15" s="390"/>
      <c r="T15" s="390"/>
      <c r="U15" s="390"/>
      <c r="V15" s="390"/>
      <c r="W15" s="390"/>
      <c r="X15" s="390"/>
      <c r="Y15" s="390"/>
      <c r="Z15" s="650">
        <v>18.75</v>
      </c>
      <c r="AA15" s="651"/>
      <c r="AB15" s="651"/>
      <c r="AC15" s="651"/>
      <c r="AD15" s="651"/>
      <c r="AE15" s="651"/>
      <c r="AF15" s="651"/>
      <c r="AG15" s="651"/>
      <c r="AH15" s="651"/>
      <c r="AI15" s="651"/>
      <c r="AJ15" s="651"/>
      <c r="AK15" s="652"/>
      <c r="AL15" s="511">
        <f t="shared" ref="AL15:AL27" si="0">Z15*$DJ$6</f>
        <v>37.5</v>
      </c>
      <c r="AM15" s="511"/>
      <c r="AN15" s="511"/>
      <c r="AO15" s="511"/>
      <c r="AP15" s="511"/>
      <c r="AQ15" s="511"/>
      <c r="AR15" s="511"/>
      <c r="AS15" s="511"/>
      <c r="AT15" s="511"/>
      <c r="AU15" s="511"/>
      <c r="AV15" s="511"/>
      <c r="AW15" s="511"/>
      <c r="AX15" s="511"/>
      <c r="AY15" s="512">
        <v>32</v>
      </c>
      <c r="AZ15" s="512"/>
      <c r="BA15" s="512"/>
      <c r="BB15" s="512"/>
      <c r="BC15" s="512"/>
      <c r="BD15" s="512"/>
      <c r="BE15" s="512"/>
      <c r="BF15" s="512"/>
      <c r="BG15" s="512"/>
      <c r="BH15" s="512"/>
      <c r="BI15" s="512"/>
      <c r="BJ15" s="512"/>
      <c r="BK15" s="512"/>
      <c r="BL15" s="513"/>
      <c r="BM15" s="326"/>
      <c r="BN15" s="326"/>
      <c r="BP15" s="499">
        <v>3</v>
      </c>
      <c r="BQ15" s="500"/>
      <c r="BR15" s="500"/>
      <c r="BS15" s="500"/>
      <c r="BT15" s="500"/>
      <c r="BU15" s="500"/>
      <c r="BV15" s="514"/>
      <c r="BW15" s="514"/>
      <c r="BX15" s="514"/>
      <c r="BY15" s="514"/>
      <c r="BZ15" s="514"/>
      <c r="CA15" s="514"/>
      <c r="CB15" s="514"/>
      <c r="CC15" s="514"/>
      <c r="CD15" s="515"/>
      <c r="CE15" s="504"/>
      <c r="CF15" s="504"/>
      <c r="CG15" s="504"/>
      <c r="CH15" s="504"/>
      <c r="CI15" s="504"/>
      <c r="CJ15" s="504"/>
      <c r="CK15" s="504"/>
      <c r="CL15" s="516"/>
      <c r="CM15" s="504"/>
      <c r="CN15" s="504"/>
      <c r="CO15" s="504"/>
      <c r="CP15" s="504"/>
      <c r="CQ15" s="504"/>
      <c r="CR15" s="504"/>
      <c r="CS15" s="504"/>
      <c r="CT15" s="504"/>
      <c r="CU15" s="504"/>
      <c r="CV15" s="516"/>
      <c r="CW15" s="504"/>
      <c r="CX15" s="504"/>
      <c r="CY15" s="504"/>
      <c r="CZ15" s="504"/>
      <c r="DA15" s="504"/>
      <c r="DB15" s="504"/>
      <c r="DC15" s="504"/>
      <c r="DD15" s="504"/>
      <c r="DE15" s="504"/>
      <c r="DF15" s="516"/>
      <c r="DG15" s="504"/>
      <c r="DH15" s="504"/>
      <c r="DI15" s="504"/>
      <c r="DJ15" s="504"/>
      <c r="DK15" s="504"/>
      <c r="DL15" s="504"/>
      <c r="DM15" s="504"/>
      <c r="DN15" s="504"/>
      <c r="DO15" s="504"/>
      <c r="DP15" s="516"/>
      <c r="DQ15" s="504"/>
      <c r="DR15" s="504"/>
      <c r="DS15" s="504"/>
      <c r="DT15" s="504"/>
      <c r="DU15" s="504"/>
      <c r="DV15" s="504"/>
      <c r="DW15" s="504"/>
      <c r="DX15" s="504"/>
      <c r="DY15" s="505"/>
      <c r="EA15" s="322">
        <v>18.75</v>
      </c>
    </row>
    <row r="16" spans="1:132" ht="19.95" customHeight="1" x14ac:dyDescent="0.4">
      <c r="A16" s="383">
        <v>4</v>
      </c>
      <c r="B16" s="388"/>
      <c r="C16" s="388"/>
      <c r="D16" s="388"/>
      <c r="E16" s="390" t="s">
        <v>418</v>
      </c>
      <c r="F16" s="390"/>
      <c r="G16" s="390"/>
      <c r="H16" s="390"/>
      <c r="I16" s="390"/>
      <c r="J16" s="390"/>
      <c r="K16" s="390"/>
      <c r="L16" s="390"/>
      <c r="M16" s="390"/>
      <c r="N16" s="390"/>
      <c r="O16" s="390"/>
      <c r="P16" s="390" t="s">
        <v>404</v>
      </c>
      <c r="Q16" s="390"/>
      <c r="R16" s="390"/>
      <c r="S16" s="390"/>
      <c r="T16" s="390"/>
      <c r="U16" s="390"/>
      <c r="V16" s="390"/>
      <c r="W16" s="390"/>
      <c r="X16" s="390"/>
      <c r="Y16" s="390"/>
      <c r="Z16" s="650">
        <v>10</v>
      </c>
      <c r="AA16" s="651"/>
      <c r="AB16" s="651"/>
      <c r="AC16" s="651"/>
      <c r="AD16" s="651"/>
      <c r="AE16" s="651"/>
      <c r="AF16" s="651"/>
      <c r="AG16" s="651"/>
      <c r="AH16" s="651"/>
      <c r="AI16" s="651"/>
      <c r="AJ16" s="651"/>
      <c r="AK16" s="652"/>
      <c r="AL16" s="511">
        <v>2.96</v>
      </c>
      <c r="AM16" s="511"/>
      <c r="AN16" s="511"/>
      <c r="AO16" s="511"/>
      <c r="AP16" s="511"/>
      <c r="AQ16" s="511"/>
      <c r="AR16" s="511"/>
      <c r="AS16" s="511"/>
      <c r="AT16" s="511"/>
      <c r="AU16" s="511"/>
      <c r="AV16" s="511"/>
      <c r="AW16" s="511"/>
      <c r="AX16" s="511"/>
      <c r="AY16" s="512">
        <v>25</v>
      </c>
      <c r="AZ16" s="512"/>
      <c r="BA16" s="512"/>
      <c r="BB16" s="512"/>
      <c r="BC16" s="512"/>
      <c r="BD16" s="512"/>
      <c r="BE16" s="512"/>
      <c r="BF16" s="512"/>
      <c r="BG16" s="512"/>
      <c r="BH16" s="512"/>
      <c r="BI16" s="512"/>
      <c r="BJ16" s="512"/>
      <c r="BK16" s="512"/>
      <c r="BL16" s="513"/>
      <c r="BM16" s="326"/>
      <c r="BN16" s="326"/>
      <c r="BO16" s="326"/>
      <c r="BP16" s="499">
        <v>4</v>
      </c>
      <c r="BQ16" s="500"/>
      <c r="BR16" s="500"/>
      <c r="BS16" s="500"/>
      <c r="BT16" s="500"/>
      <c r="BU16" s="500"/>
      <c r="BV16" s="514"/>
      <c r="BW16" s="514"/>
      <c r="BX16" s="514"/>
      <c r="BY16" s="514"/>
      <c r="BZ16" s="514"/>
      <c r="CA16" s="514"/>
      <c r="CB16" s="514"/>
      <c r="CC16" s="514"/>
      <c r="CD16" s="515"/>
      <c r="CE16" s="504"/>
      <c r="CF16" s="504"/>
      <c r="CG16" s="504"/>
      <c r="CH16" s="504"/>
      <c r="CI16" s="504"/>
      <c r="CJ16" s="504"/>
      <c r="CK16" s="504"/>
      <c r="CL16" s="516"/>
      <c r="CM16" s="504"/>
      <c r="CN16" s="504"/>
      <c r="CO16" s="504"/>
      <c r="CP16" s="504"/>
      <c r="CQ16" s="504"/>
      <c r="CR16" s="504"/>
      <c r="CS16" s="504"/>
      <c r="CT16" s="504"/>
      <c r="CU16" s="504"/>
      <c r="CV16" s="516"/>
      <c r="CW16" s="504"/>
      <c r="CX16" s="504"/>
      <c r="CY16" s="504"/>
      <c r="CZ16" s="504"/>
      <c r="DA16" s="504"/>
      <c r="DB16" s="504"/>
      <c r="DC16" s="504"/>
      <c r="DD16" s="504"/>
      <c r="DE16" s="504"/>
      <c r="DF16" s="516"/>
      <c r="DG16" s="504"/>
      <c r="DH16" s="504"/>
      <c r="DI16" s="504"/>
      <c r="DJ16" s="504"/>
      <c r="DK16" s="504"/>
      <c r="DL16" s="504"/>
      <c r="DM16" s="504"/>
      <c r="DN16" s="504"/>
      <c r="DO16" s="504"/>
      <c r="DP16" s="516"/>
      <c r="DQ16" s="504"/>
      <c r="DR16" s="504"/>
      <c r="DS16" s="504"/>
      <c r="DT16" s="504"/>
      <c r="DU16" s="504"/>
      <c r="DV16" s="504"/>
      <c r="DW16" s="504"/>
      <c r="DX16" s="504"/>
      <c r="DY16" s="505"/>
      <c r="EA16" s="322">
        <v>10</v>
      </c>
    </row>
    <row r="17" spans="1:131" ht="19.95" customHeight="1" x14ac:dyDescent="0.4">
      <c r="A17" s="383">
        <v>5</v>
      </c>
      <c r="B17" s="388"/>
      <c r="C17" s="388"/>
      <c r="D17" s="388"/>
      <c r="E17" s="390" t="s">
        <v>419</v>
      </c>
      <c r="F17" s="390"/>
      <c r="G17" s="390"/>
      <c r="H17" s="390"/>
      <c r="I17" s="390"/>
      <c r="J17" s="390"/>
      <c r="K17" s="390"/>
      <c r="L17" s="390"/>
      <c r="M17" s="390"/>
      <c r="N17" s="390"/>
      <c r="O17" s="390"/>
      <c r="P17" s="390" t="s">
        <v>413</v>
      </c>
      <c r="Q17" s="390"/>
      <c r="R17" s="390"/>
      <c r="S17" s="390"/>
      <c r="T17" s="390"/>
      <c r="U17" s="390"/>
      <c r="V17" s="390"/>
      <c r="W17" s="390"/>
      <c r="X17" s="390"/>
      <c r="Y17" s="390"/>
      <c r="Z17" s="650">
        <v>2.5</v>
      </c>
      <c r="AA17" s="651"/>
      <c r="AB17" s="651"/>
      <c r="AC17" s="651"/>
      <c r="AD17" s="651"/>
      <c r="AE17" s="651"/>
      <c r="AF17" s="651"/>
      <c r="AG17" s="651"/>
      <c r="AH17" s="651"/>
      <c r="AI17" s="651"/>
      <c r="AJ17" s="651"/>
      <c r="AK17" s="652"/>
      <c r="AL17" s="511">
        <v>2</v>
      </c>
      <c r="AM17" s="511"/>
      <c r="AN17" s="511"/>
      <c r="AO17" s="511"/>
      <c r="AP17" s="511"/>
      <c r="AQ17" s="511"/>
      <c r="AR17" s="511"/>
      <c r="AS17" s="511"/>
      <c r="AT17" s="511"/>
      <c r="AU17" s="511"/>
      <c r="AV17" s="511"/>
      <c r="AW17" s="511"/>
      <c r="AX17" s="511"/>
      <c r="AY17" s="512">
        <v>25</v>
      </c>
      <c r="AZ17" s="512"/>
      <c r="BA17" s="512"/>
      <c r="BB17" s="512"/>
      <c r="BC17" s="512"/>
      <c r="BD17" s="512"/>
      <c r="BE17" s="512"/>
      <c r="BF17" s="512"/>
      <c r="BG17" s="512"/>
      <c r="BH17" s="512"/>
      <c r="BI17" s="512"/>
      <c r="BJ17" s="512"/>
      <c r="BK17" s="512"/>
      <c r="BL17" s="513"/>
      <c r="BM17" s="326"/>
      <c r="BN17" s="326"/>
      <c r="BO17" s="326"/>
      <c r="BP17" s="499">
        <v>5</v>
      </c>
      <c r="BQ17" s="500"/>
      <c r="BR17" s="500"/>
      <c r="BS17" s="500"/>
      <c r="BT17" s="500"/>
      <c r="BU17" s="500"/>
      <c r="BV17" s="514"/>
      <c r="BW17" s="514"/>
      <c r="BX17" s="514"/>
      <c r="BY17" s="514"/>
      <c r="BZ17" s="514"/>
      <c r="CA17" s="514"/>
      <c r="CB17" s="514"/>
      <c r="CC17" s="514"/>
      <c r="CD17" s="515"/>
      <c r="CE17" s="504"/>
      <c r="CF17" s="504"/>
      <c r="CG17" s="504"/>
      <c r="CH17" s="504"/>
      <c r="CI17" s="504"/>
      <c r="CJ17" s="504"/>
      <c r="CK17" s="504"/>
      <c r="CL17" s="516"/>
      <c r="CM17" s="504"/>
      <c r="CN17" s="504"/>
      <c r="CO17" s="504"/>
      <c r="CP17" s="504"/>
      <c r="CQ17" s="504"/>
      <c r="CR17" s="504"/>
      <c r="CS17" s="504"/>
      <c r="CT17" s="504"/>
      <c r="CU17" s="504"/>
      <c r="CV17" s="516"/>
      <c r="CW17" s="504"/>
      <c r="CX17" s="504"/>
      <c r="CY17" s="504"/>
      <c r="CZ17" s="504"/>
      <c r="DA17" s="504"/>
      <c r="DB17" s="504"/>
      <c r="DC17" s="504"/>
      <c r="DD17" s="504"/>
      <c r="DE17" s="504"/>
      <c r="DF17" s="516"/>
      <c r="DG17" s="504"/>
      <c r="DH17" s="504"/>
      <c r="DI17" s="504"/>
      <c r="DJ17" s="504"/>
      <c r="DK17" s="504"/>
      <c r="DL17" s="504"/>
      <c r="DM17" s="504"/>
      <c r="DN17" s="504"/>
      <c r="DO17" s="504"/>
      <c r="DP17" s="516"/>
      <c r="DQ17" s="504"/>
      <c r="DR17" s="504"/>
      <c r="DS17" s="504"/>
      <c r="DT17" s="504"/>
      <c r="DU17" s="504"/>
      <c r="DV17" s="504"/>
      <c r="DW17" s="504"/>
      <c r="DX17" s="504"/>
      <c r="DY17" s="505"/>
      <c r="EA17" s="322">
        <v>2.5</v>
      </c>
    </row>
    <row r="18" spans="1:131" ht="19.95" customHeight="1" thickBot="1" x14ac:dyDescent="0.45">
      <c r="A18" s="383"/>
      <c r="B18" s="388"/>
      <c r="C18" s="388"/>
      <c r="D18" s="388"/>
      <c r="E18" s="390" t="s">
        <v>419</v>
      </c>
      <c r="F18" s="390"/>
      <c r="G18" s="390"/>
      <c r="H18" s="390"/>
      <c r="I18" s="390"/>
      <c r="J18" s="390"/>
      <c r="K18" s="390"/>
      <c r="L18" s="390"/>
      <c r="M18" s="390"/>
      <c r="N18" s="390"/>
      <c r="O18" s="390"/>
      <c r="P18" s="390" t="s">
        <v>581</v>
      </c>
      <c r="Q18" s="390"/>
      <c r="R18" s="390"/>
      <c r="S18" s="390"/>
      <c r="T18" s="390"/>
      <c r="U18" s="390"/>
      <c r="V18" s="390"/>
      <c r="W18" s="390"/>
      <c r="X18" s="390"/>
      <c r="Y18" s="390"/>
      <c r="Z18" s="650">
        <v>2.5</v>
      </c>
      <c r="AA18" s="651"/>
      <c r="AB18" s="651"/>
      <c r="AC18" s="651"/>
      <c r="AD18" s="651"/>
      <c r="AE18" s="651"/>
      <c r="AF18" s="651"/>
      <c r="AG18" s="651"/>
      <c r="AH18" s="651"/>
      <c r="AI18" s="651"/>
      <c r="AJ18" s="651"/>
      <c r="AK18" s="652"/>
      <c r="AL18" s="511">
        <f t="shared" si="0"/>
        <v>5</v>
      </c>
      <c r="AM18" s="511"/>
      <c r="AN18" s="511"/>
      <c r="AO18" s="511"/>
      <c r="AP18" s="511"/>
      <c r="AQ18" s="511"/>
      <c r="AR18" s="511"/>
      <c r="AS18" s="511"/>
      <c r="AT18" s="511"/>
      <c r="AU18" s="511"/>
      <c r="AV18" s="511"/>
      <c r="AW18" s="511"/>
      <c r="AX18" s="511"/>
      <c r="AY18" s="512"/>
      <c r="AZ18" s="512"/>
      <c r="BA18" s="512"/>
      <c r="BB18" s="512"/>
      <c r="BC18" s="512"/>
      <c r="BD18" s="512"/>
      <c r="BE18" s="512"/>
      <c r="BF18" s="512"/>
      <c r="BG18" s="512"/>
      <c r="BH18" s="512"/>
      <c r="BI18" s="512"/>
      <c r="BJ18" s="512"/>
      <c r="BK18" s="512"/>
      <c r="BL18" s="513"/>
      <c r="BM18" s="326"/>
      <c r="BN18" s="326"/>
      <c r="BO18" s="326"/>
      <c r="BP18" s="534">
        <v>6</v>
      </c>
      <c r="BQ18" s="535"/>
      <c r="BR18" s="535"/>
      <c r="BS18" s="535"/>
      <c r="BT18" s="535"/>
      <c r="BU18" s="535"/>
      <c r="BV18" s="536"/>
      <c r="BW18" s="536"/>
      <c r="BX18" s="536"/>
      <c r="BY18" s="536"/>
      <c r="BZ18" s="536"/>
      <c r="CA18" s="536"/>
      <c r="CB18" s="536"/>
      <c r="CC18" s="536"/>
      <c r="CD18" s="537"/>
      <c r="CE18" s="530"/>
      <c r="CF18" s="530"/>
      <c r="CG18" s="530"/>
      <c r="CH18" s="530"/>
      <c r="CI18" s="530"/>
      <c r="CJ18" s="530"/>
      <c r="CK18" s="530"/>
      <c r="CL18" s="531"/>
      <c r="CM18" s="530"/>
      <c r="CN18" s="530"/>
      <c r="CO18" s="530"/>
      <c r="CP18" s="530"/>
      <c r="CQ18" s="530"/>
      <c r="CR18" s="530"/>
      <c r="CS18" s="530"/>
      <c r="CT18" s="530"/>
      <c r="CU18" s="530"/>
      <c r="CV18" s="531"/>
      <c r="CW18" s="530"/>
      <c r="CX18" s="530"/>
      <c r="CY18" s="530"/>
      <c r="CZ18" s="530"/>
      <c r="DA18" s="530"/>
      <c r="DB18" s="530"/>
      <c r="DC18" s="530"/>
      <c r="DD18" s="530"/>
      <c r="DE18" s="530"/>
      <c r="DF18" s="531"/>
      <c r="DG18" s="530"/>
      <c r="DH18" s="530"/>
      <c r="DI18" s="530"/>
      <c r="DJ18" s="530"/>
      <c r="DK18" s="530"/>
      <c r="DL18" s="530"/>
      <c r="DM18" s="530"/>
      <c r="DN18" s="530"/>
      <c r="DO18" s="530"/>
      <c r="DP18" s="531"/>
      <c r="DQ18" s="530"/>
      <c r="DR18" s="530"/>
      <c r="DS18" s="530"/>
      <c r="DT18" s="530"/>
      <c r="DU18" s="530"/>
      <c r="DV18" s="530"/>
      <c r="DW18" s="530"/>
      <c r="DX18" s="530"/>
      <c r="DY18" s="532"/>
      <c r="EA18" s="322">
        <v>2.5</v>
      </c>
    </row>
    <row r="19" spans="1:131" ht="19.95" customHeight="1" x14ac:dyDescent="0.4">
      <c r="A19" s="383">
        <v>6</v>
      </c>
      <c r="B19" s="388"/>
      <c r="C19" s="388"/>
      <c r="D19" s="388"/>
      <c r="E19" s="390" t="s">
        <v>421</v>
      </c>
      <c r="F19" s="390"/>
      <c r="G19" s="390"/>
      <c r="H19" s="390"/>
      <c r="I19" s="390"/>
      <c r="J19" s="390"/>
      <c r="K19" s="390"/>
      <c r="L19" s="390"/>
      <c r="M19" s="390"/>
      <c r="N19" s="390"/>
      <c r="O19" s="390"/>
      <c r="P19" s="390" t="s">
        <v>424</v>
      </c>
      <c r="Q19" s="390"/>
      <c r="R19" s="390"/>
      <c r="S19" s="390"/>
      <c r="T19" s="390"/>
      <c r="U19" s="390"/>
      <c r="V19" s="390"/>
      <c r="W19" s="390"/>
      <c r="X19" s="390"/>
      <c r="Y19" s="390"/>
      <c r="Z19" s="650">
        <v>4.25</v>
      </c>
      <c r="AA19" s="651"/>
      <c r="AB19" s="651"/>
      <c r="AC19" s="651"/>
      <c r="AD19" s="651"/>
      <c r="AE19" s="651"/>
      <c r="AF19" s="651"/>
      <c r="AG19" s="651"/>
      <c r="AH19" s="651"/>
      <c r="AI19" s="651"/>
      <c r="AJ19" s="651"/>
      <c r="AK19" s="652"/>
      <c r="AL19" s="511">
        <v>3.1</v>
      </c>
      <c r="AM19" s="511"/>
      <c r="AN19" s="511"/>
      <c r="AO19" s="511"/>
      <c r="AP19" s="511"/>
      <c r="AQ19" s="511"/>
      <c r="AR19" s="511"/>
      <c r="AS19" s="511"/>
      <c r="AT19" s="511"/>
      <c r="AU19" s="511"/>
      <c r="AV19" s="511"/>
      <c r="AW19" s="511"/>
      <c r="AX19" s="511"/>
      <c r="AY19" s="512">
        <v>42.5</v>
      </c>
      <c r="AZ19" s="512"/>
      <c r="BA19" s="512"/>
      <c r="BB19" s="512"/>
      <c r="BC19" s="512"/>
      <c r="BD19" s="512"/>
      <c r="BE19" s="512"/>
      <c r="BF19" s="512"/>
      <c r="BG19" s="512"/>
      <c r="BH19" s="512"/>
      <c r="BI19" s="512"/>
      <c r="BJ19" s="512"/>
      <c r="BK19" s="512"/>
      <c r="BL19" s="513"/>
      <c r="BM19" s="326"/>
      <c r="BN19" s="326"/>
      <c r="BO19" s="326"/>
      <c r="BP19" s="326"/>
      <c r="EA19" s="322">
        <v>4.25</v>
      </c>
    </row>
    <row r="20" spans="1:131" ht="25.05" customHeight="1" x14ac:dyDescent="0.4">
      <c r="A20" s="383">
        <v>7</v>
      </c>
      <c r="B20" s="388"/>
      <c r="C20" s="388"/>
      <c r="D20" s="388"/>
      <c r="E20" s="390" t="s">
        <v>422</v>
      </c>
      <c r="F20" s="390"/>
      <c r="G20" s="390"/>
      <c r="H20" s="390"/>
      <c r="I20" s="390"/>
      <c r="J20" s="390"/>
      <c r="K20" s="390"/>
      <c r="L20" s="390"/>
      <c r="M20" s="390"/>
      <c r="N20" s="390"/>
      <c r="O20" s="390"/>
      <c r="P20" s="390" t="s">
        <v>425</v>
      </c>
      <c r="Q20" s="390"/>
      <c r="R20" s="390"/>
      <c r="S20" s="390"/>
      <c r="T20" s="390"/>
      <c r="U20" s="390"/>
      <c r="V20" s="390"/>
      <c r="W20" s="390"/>
      <c r="X20" s="390"/>
      <c r="Y20" s="390"/>
      <c r="Z20" s="650">
        <v>3</v>
      </c>
      <c r="AA20" s="651"/>
      <c r="AB20" s="651"/>
      <c r="AC20" s="651"/>
      <c r="AD20" s="651"/>
      <c r="AE20" s="651"/>
      <c r="AF20" s="651"/>
      <c r="AG20" s="651"/>
      <c r="AH20" s="651"/>
      <c r="AI20" s="651"/>
      <c r="AJ20" s="651"/>
      <c r="AK20" s="652"/>
      <c r="AL20" s="511">
        <f t="shared" si="0"/>
        <v>6</v>
      </c>
      <c r="AM20" s="511"/>
      <c r="AN20" s="511"/>
      <c r="AO20" s="511"/>
      <c r="AP20" s="511"/>
      <c r="AQ20" s="511"/>
      <c r="AR20" s="511"/>
      <c r="AS20" s="511"/>
      <c r="AT20" s="511"/>
      <c r="AU20" s="511"/>
      <c r="AV20" s="511"/>
      <c r="AW20" s="511"/>
      <c r="AX20" s="511"/>
      <c r="AY20" s="512">
        <v>30</v>
      </c>
      <c r="AZ20" s="512"/>
      <c r="BA20" s="512"/>
      <c r="BB20" s="512"/>
      <c r="BC20" s="512"/>
      <c r="BD20" s="512"/>
      <c r="BE20" s="512"/>
      <c r="BF20" s="512"/>
      <c r="BG20" s="512"/>
      <c r="BH20" s="512"/>
      <c r="BI20" s="512"/>
      <c r="BJ20" s="512"/>
      <c r="BK20" s="512"/>
      <c r="BL20" s="513"/>
      <c r="BM20" s="326"/>
      <c r="BN20" s="326"/>
      <c r="BO20" s="326"/>
      <c r="BP20" s="538" t="s">
        <v>502</v>
      </c>
      <c r="BQ20" s="538"/>
      <c r="BR20" s="538"/>
      <c r="BS20" s="538"/>
      <c r="BT20" s="538"/>
      <c r="BU20" s="538"/>
      <c r="BV20" s="538"/>
      <c r="BW20" s="538"/>
      <c r="BX20" s="538"/>
      <c r="BY20" s="538"/>
      <c r="BZ20" s="538"/>
      <c r="CA20" s="538"/>
      <c r="CB20" s="538"/>
      <c r="CC20" s="538"/>
      <c r="CD20" s="538"/>
      <c r="CE20" s="538"/>
      <c r="CF20" s="538"/>
      <c r="CG20" s="538"/>
      <c r="CH20" s="538"/>
      <c r="CI20" s="538"/>
      <c r="CJ20" s="538"/>
      <c r="CK20" s="538"/>
      <c r="CL20" s="538"/>
      <c r="CM20" s="538"/>
      <c r="CN20" s="538"/>
      <c r="CO20" s="538"/>
      <c r="CP20" s="538"/>
      <c r="CQ20" s="538"/>
      <c r="CR20" s="538"/>
      <c r="CS20" s="538"/>
      <c r="CT20" s="538"/>
      <c r="CU20" s="538"/>
      <c r="CV20" s="538"/>
      <c r="CW20" s="538"/>
      <c r="CX20" s="538"/>
      <c r="CY20" s="538"/>
      <c r="CZ20" s="538"/>
      <c r="DA20" s="538"/>
      <c r="DB20" s="538"/>
      <c r="DC20" s="538"/>
      <c r="DD20" s="538"/>
      <c r="DE20" s="538"/>
      <c r="DF20" s="538"/>
      <c r="DG20" s="538"/>
      <c r="DH20" s="538"/>
      <c r="DI20" s="538"/>
      <c r="DJ20" s="538"/>
      <c r="DK20" s="538"/>
      <c r="DL20" s="538"/>
      <c r="DM20" s="538"/>
      <c r="DN20" s="538"/>
      <c r="DO20" s="538"/>
      <c r="DP20" s="538"/>
      <c r="DQ20" s="538"/>
      <c r="DR20" s="538"/>
      <c r="DS20" s="538"/>
      <c r="DT20" s="538"/>
      <c r="DU20" s="538"/>
      <c r="DV20" s="538"/>
      <c r="DW20" s="538"/>
      <c r="DX20" s="538"/>
      <c r="DY20" s="538"/>
      <c r="EA20" s="322">
        <v>3</v>
      </c>
    </row>
    <row r="21" spans="1:131" ht="19.95" customHeight="1" thickBot="1" x14ac:dyDescent="0.45">
      <c r="A21" s="383">
        <v>8</v>
      </c>
      <c r="B21" s="388"/>
      <c r="C21" s="388"/>
      <c r="D21" s="388"/>
      <c r="E21" s="390" t="s">
        <v>430</v>
      </c>
      <c r="F21" s="390"/>
      <c r="G21" s="390"/>
      <c r="H21" s="390"/>
      <c r="I21" s="390"/>
      <c r="J21" s="390"/>
      <c r="K21" s="390"/>
      <c r="L21" s="390"/>
      <c r="M21" s="390"/>
      <c r="N21" s="390"/>
      <c r="O21" s="390"/>
      <c r="P21" s="390" t="s">
        <v>429</v>
      </c>
      <c r="Q21" s="390"/>
      <c r="R21" s="390"/>
      <c r="S21" s="390"/>
      <c r="T21" s="390"/>
      <c r="U21" s="390"/>
      <c r="V21" s="390"/>
      <c r="W21" s="390"/>
      <c r="X21" s="390"/>
      <c r="Y21" s="390"/>
      <c r="Z21" s="650">
        <v>3.25</v>
      </c>
      <c r="AA21" s="651"/>
      <c r="AB21" s="651"/>
      <c r="AC21" s="651"/>
      <c r="AD21" s="651"/>
      <c r="AE21" s="651"/>
      <c r="AF21" s="651"/>
      <c r="AG21" s="651"/>
      <c r="AH21" s="651"/>
      <c r="AI21" s="651"/>
      <c r="AJ21" s="651"/>
      <c r="AK21" s="652"/>
      <c r="AL21" s="511">
        <f t="shared" si="0"/>
        <v>6.5</v>
      </c>
      <c r="AM21" s="511"/>
      <c r="AN21" s="511"/>
      <c r="AO21" s="511"/>
      <c r="AP21" s="511"/>
      <c r="AQ21" s="511"/>
      <c r="AR21" s="511"/>
      <c r="AS21" s="511"/>
      <c r="AT21" s="511"/>
      <c r="AU21" s="511"/>
      <c r="AV21" s="511"/>
      <c r="AW21" s="511"/>
      <c r="AX21" s="511"/>
      <c r="AY21" s="512">
        <v>25</v>
      </c>
      <c r="AZ21" s="512"/>
      <c r="BA21" s="512"/>
      <c r="BB21" s="512"/>
      <c r="BC21" s="512"/>
      <c r="BD21" s="512"/>
      <c r="BE21" s="512"/>
      <c r="BF21" s="512"/>
      <c r="BG21" s="512"/>
      <c r="BH21" s="512"/>
      <c r="BI21" s="512"/>
      <c r="BJ21" s="512"/>
      <c r="BK21" s="512"/>
      <c r="BL21" s="513"/>
      <c r="BM21" s="326"/>
      <c r="BN21" s="326"/>
      <c r="BO21" s="326"/>
      <c r="BP21" s="326"/>
      <c r="DY21" s="330"/>
      <c r="EA21" s="322">
        <v>3.25</v>
      </c>
    </row>
    <row r="22" spans="1:131" ht="19.95" customHeight="1" x14ac:dyDescent="0.4">
      <c r="A22" s="383">
        <v>9</v>
      </c>
      <c r="B22" s="388"/>
      <c r="C22" s="388"/>
      <c r="D22" s="388"/>
      <c r="E22" s="391" t="s">
        <v>417</v>
      </c>
      <c r="F22" s="391"/>
      <c r="G22" s="391"/>
      <c r="H22" s="391"/>
      <c r="I22" s="391"/>
      <c r="J22" s="391"/>
      <c r="K22" s="391"/>
      <c r="L22" s="391"/>
      <c r="M22" s="391"/>
      <c r="N22" s="391"/>
      <c r="O22" s="391"/>
      <c r="P22" s="391" t="s">
        <v>405</v>
      </c>
      <c r="Q22" s="391"/>
      <c r="R22" s="391"/>
      <c r="S22" s="391"/>
      <c r="T22" s="391"/>
      <c r="U22" s="391"/>
      <c r="V22" s="391"/>
      <c r="W22" s="391"/>
      <c r="X22" s="391"/>
      <c r="Y22" s="391"/>
      <c r="Z22" s="642">
        <v>12.5</v>
      </c>
      <c r="AA22" s="643"/>
      <c r="AB22" s="643"/>
      <c r="AC22" s="643"/>
      <c r="AD22" s="643"/>
      <c r="AE22" s="643"/>
      <c r="AF22" s="643"/>
      <c r="AG22" s="643"/>
      <c r="AH22" s="643"/>
      <c r="AI22" s="643"/>
      <c r="AJ22" s="643"/>
      <c r="AK22" s="644"/>
      <c r="AL22" s="511">
        <v>11.97</v>
      </c>
      <c r="AM22" s="511"/>
      <c r="AN22" s="511"/>
      <c r="AO22" s="511"/>
      <c r="AP22" s="511"/>
      <c r="AQ22" s="511"/>
      <c r="AR22" s="511"/>
      <c r="AS22" s="511"/>
      <c r="AT22" s="511"/>
      <c r="AU22" s="511"/>
      <c r="AV22" s="511"/>
      <c r="AW22" s="511"/>
      <c r="AX22" s="511"/>
      <c r="AY22" s="512">
        <v>125</v>
      </c>
      <c r="AZ22" s="512"/>
      <c r="BA22" s="512"/>
      <c r="BB22" s="512"/>
      <c r="BC22" s="512"/>
      <c r="BD22" s="512"/>
      <c r="BE22" s="512"/>
      <c r="BF22" s="512"/>
      <c r="BG22" s="512"/>
      <c r="BH22" s="512"/>
      <c r="BI22" s="512"/>
      <c r="BJ22" s="512"/>
      <c r="BK22" s="512"/>
      <c r="BL22" s="513"/>
      <c r="BM22" s="326"/>
      <c r="BN22" s="326"/>
      <c r="BO22" s="326"/>
      <c r="BP22" s="653" t="s">
        <v>415</v>
      </c>
      <c r="BQ22" s="654"/>
      <c r="BR22" s="654"/>
      <c r="BS22" s="654"/>
      <c r="BT22" s="654"/>
      <c r="BU22" s="654"/>
      <c r="BV22" s="654"/>
      <c r="BW22" s="654"/>
      <c r="BX22" s="654"/>
      <c r="BY22" s="654"/>
      <c r="BZ22" s="654"/>
      <c r="CA22" s="654"/>
      <c r="CB22" s="654"/>
      <c r="CC22" s="654"/>
      <c r="CD22" s="654"/>
      <c r="CE22" s="655"/>
      <c r="CF22" s="498" t="s">
        <v>499</v>
      </c>
      <c r="CG22" s="498"/>
      <c r="CH22" s="498"/>
      <c r="CI22" s="498"/>
      <c r="CJ22" s="498"/>
      <c r="CK22" s="498"/>
      <c r="CL22" s="498"/>
      <c r="CM22" s="498"/>
      <c r="CN22" s="498"/>
      <c r="CO22" s="498"/>
      <c r="CP22" s="498"/>
      <c r="CQ22" s="498"/>
      <c r="CR22" s="498"/>
      <c r="CS22" s="498"/>
      <c r="CT22" s="498" t="s">
        <v>576</v>
      </c>
      <c r="CU22" s="498"/>
      <c r="CV22" s="498"/>
      <c r="CW22" s="498"/>
      <c r="CX22" s="498"/>
      <c r="CY22" s="498"/>
      <c r="CZ22" s="498"/>
      <c r="DA22" s="498"/>
      <c r="DB22" s="498"/>
      <c r="DC22" s="498"/>
      <c r="DD22" s="498"/>
      <c r="DE22" s="498"/>
      <c r="DF22" s="498"/>
      <c r="DG22" s="498"/>
      <c r="DH22" s="646" t="s">
        <v>498</v>
      </c>
      <c r="DI22" s="548"/>
      <c r="DJ22" s="548"/>
      <c r="DK22" s="548"/>
      <c r="DL22" s="548"/>
      <c r="DM22" s="548"/>
      <c r="DN22" s="548"/>
      <c r="DO22" s="548"/>
      <c r="DP22" s="548"/>
      <c r="DQ22" s="548"/>
      <c r="DR22" s="548"/>
      <c r="DS22" s="548"/>
      <c r="DT22" s="548"/>
      <c r="DU22" s="548"/>
      <c r="DV22" s="548"/>
      <c r="DW22" s="548"/>
      <c r="DX22" s="548"/>
      <c r="DY22" s="647"/>
      <c r="EA22" s="322">
        <v>12.5</v>
      </c>
    </row>
    <row r="23" spans="1:131" ht="19.95" customHeight="1" x14ac:dyDescent="0.4">
      <c r="A23" s="383">
        <v>10</v>
      </c>
      <c r="B23" s="388"/>
      <c r="C23" s="388"/>
      <c r="D23" s="388"/>
      <c r="E23" s="391" t="s">
        <v>423</v>
      </c>
      <c r="F23" s="391"/>
      <c r="G23" s="391"/>
      <c r="H23" s="391"/>
      <c r="I23" s="391"/>
      <c r="J23" s="391"/>
      <c r="K23" s="391"/>
      <c r="L23" s="391"/>
      <c r="M23" s="391"/>
      <c r="N23" s="391"/>
      <c r="O23" s="391"/>
      <c r="P23" s="391" t="s">
        <v>406</v>
      </c>
      <c r="Q23" s="391"/>
      <c r="R23" s="391"/>
      <c r="S23" s="391"/>
      <c r="T23" s="391"/>
      <c r="U23" s="391"/>
      <c r="V23" s="391"/>
      <c r="W23" s="391"/>
      <c r="X23" s="391"/>
      <c r="Y23" s="391"/>
      <c r="Z23" s="642">
        <v>12.5</v>
      </c>
      <c r="AA23" s="643"/>
      <c r="AB23" s="643"/>
      <c r="AC23" s="643"/>
      <c r="AD23" s="643"/>
      <c r="AE23" s="643"/>
      <c r="AF23" s="643"/>
      <c r="AG23" s="643"/>
      <c r="AH23" s="643"/>
      <c r="AI23" s="643"/>
      <c r="AJ23" s="643"/>
      <c r="AK23" s="644"/>
      <c r="AL23" s="511">
        <v>11.97</v>
      </c>
      <c r="AM23" s="511"/>
      <c r="AN23" s="511"/>
      <c r="AO23" s="511"/>
      <c r="AP23" s="511"/>
      <c r="AQ23" s="511"/>
      <c r="AR23" s="511"/>
      <c r="AS23" s="511"/>
      <c r="AT23" s="511"/>
      <c r="AU23" s="511"/>
      <c r="AV23" s="511"/>
      <c r="AW23" s="511"/>
      <c r="AX23" s="511"/>
      <c r="AY23" s="512">
        <v>125</v>
      </c>
      <c r="AZ23" s="512"/>
      <c r="BA23" s="512"/>
      <c r="BB23" s="512"/>
      <c r="BC23" s="512"/>
      <c r="BD23" s="512"/>
      <c r="BE23" s="512"/>
      <c r="BF23" s="512"/>
      <c r="BG23" s="512"/>
      <c r="BH23" s="512"/>
      <c r="BI23" s="512"/>
      <c r="BJ23" s="512"/>
      <c r="BK23" s="512"/>
      <c r="BL23" s="513"/>
      <c r="BM23" s="326"/>
      <c r="BN23" s="326"/>
      <c r="BO23" s="326"/>
      <c r="BP23" s="656">
        <v>34</v>
      </c>
      <c r="BQ23" s="657"/>
      <c r="BR23" s="657"/>
      <c r="BS23" s="657"/>
      <c r="BT23" s="657"/>
      <c r="BU23" s="657"/>
      <c r="BV23" s="657"/>
      <c r="BW23" s="657"/>
      <c r="BX23" s="657"/>
      <c r="BY23" s="657"/>
      <c r="BZ23" s="657"/>
      <c r="CA23" s="657"/>
      <c r="CB23" s="657"/>
      <c r="CC23" s="657"/>
      <c r="CD23" s="657"/>
      <c r="CE23" s="658"/>
      <c r="CF23" s="500"/>
      <c r="CG23" s="500"/>
      <c r="CH23" s="500"/>
      <c r="CI23" s="500"/>
      <c r="CJ23" s="500"/>
      <c r="CK23" s="500"/>
      <c r="CL23" s="500"/>
      <c r="CM23" s="500"/>
      <c r="CN23" s="500"/>
      <c r="CO23" s="500"/>
      <c r="CP23" s="500"/>
      <c r="CQ23" s="500"/>
      <c r="CR23" s="500"/>
      <c r="CS23" s="500"/>
      <c r="CT23" s="500"/>
      <c r="CU23" s="500"/>
      <c r="CV23" s="500"/>
      <c r="CW23" s="500"/>
      <c r="CX23" s="500"/>
      <c r="CY23" s="500"/>
      <c r="CZ23" s="500"/>
      <c r="DA23" s="500"/>
      <c r="DB23" s="500"/>
      <c r="DC23" s="500"/>
      <c r="DD23" s="500"/>
      <c r="DE23" s="500"/>
      <c r="DF23" s="500"/>
      <c r="DG23" s="645"/>
      <c r="DH23" s="648" t="s">
        <v>497</v>
      </c>
      <c r="DI23" s="648"/>
      <c r="DJ23" s="648"/>
      <c r="DK23" s="648"/>
      <c r="DL23" s="648"/>
      <c r="DM23" s="648"/>
      <c r="DN23" s="648" t="s">
        <v>574</v>
      </c>
      <c r="DO23" s="648"/>
      <c r="DP23" s="648"/>
      <c r="DQ23" s="648"/>
      <c r="DR23" s="648"/>
      <c r="DS23" s="648"/>
      <c r="DT23" s="648" t="s">
        <v>575</v>
      </c>
      <c r="DU23" s="648"/>
      <c r="DV23" s="648"/>
      <c r="DW23" s="648"/>
      <c r="DX23" s="648"/>
      <c r="DY23" s="649"/>
      <c r="EA23" s="322">
        <v>12.5</v>
      </c>
    </row>
    <row r="24" spans="1:131" ht="19.95" customHeight="1" x14ac:dyDescent="0.4">
      <c r="A24" s="383">
        <v>11</v>
      </c>
      <c r="B24" s="388"/>
      <c r="C24" s="388"/>
      <c r="D24" s="388"/>
      <c r="E24" s="391" t="s">
        <v>426</v>
      </c>
      <c r="F24" s="391"/>
      <c r="G24" s="391"/>
      <c r="H24" s="391"/>
      <c r="I24" s="391"/>
      <c r="J24" s="391"/>
      <c r="K24" s="391"/>
      <c r="L24" s="391"/>
      <c r="M24" s="391"/>
      <c r="N24" s="391"/>
      <c r="O24" s="391"/>
      <c r="P24" s="391" t="s">
        <v>489</v>
      </c>
      <c r="Q24" s="391"/>
      <c r="R24" s="391"/>
      <c r="S24" s="391"/>
      <c r="T24" s="391"/>
      <c r="U24" s="391"/>
      <c r="V24" s="391"/>
      <c r="W24" s="391"/>
      <c r="X24" s="391"/>
      <c r="Y24" s="391"/>
      <c r="Z24" s="642">
        <v>425</v>
      </c>
      <c r="AA24" s="643"/>
      <c r="AB24" s="643"/>
      <c r="AC24" s="643"/>
      <c r="AD24" s="643"/>
      <c r="AE24" s="643"/>
      <c r="AF24" s="643"/>
      <c r="AG24" s="643"/>
      <c r="AH24" s="643"/>
      <c r="AI24" s="643"/>
      <c r="AJ24" s="643"/>
      <c r="AK24" s="644"/>
      <c r="AL24" s="511">
        <f t="shared" si="0"/>
        <v>850</v>
      </c>
      <c r="AM24" s="511"/>
      <c r="AN24" s="511"/>
      <c r="AO24" s="511"/>
      <c r="AP24" s="511"/>
      <c r="AQ24" s="511"/>
      <c r="AR24" s="511"/>
      <c r="AS24" s="511"/>
      <c r="AT24" s="511"/>
      <c r="AU24" s="511"/>
      <c r="AV24" s="511"/>
      <c r="AW24" s="511"/>
      <c r="AX24" s="511"/>
      <c r="AY24" s="512">
        <v>4238</v>
      </c>
      <c r="AZ24" s="512"/>
      <c r="BA24" s="512"/>
      <c r="BB24" s="512"/>
      <c r="BC24" s="512"/>
      <c r="BD24" s="512"/>
      <c r="BE24" s="512"/>
      <c r="BF24" s="512"/>
      <c r="BG24" s="512"/>
      <c r="BH24" s="512"/>
      <c r="BI24" s="512"/>
      <c r="BJ24" s="512"/>
      <c r="BK24" s="512"/>
      <c r="BL24" s="513"/>
      <c r="BM24" s="326"/>
      <c r="BN24" s="326"/>
      <c r="BO24" s="326"/>
      <c r="BP24" s="545" t="s">
        <v>500</v>
      </c>
      <c r="BQ24" s="546"/>
      <c r="BR24" s="546"/>
      <c r="BS24" s="546"/>
      <c r="BT24" s="546"/>
      <c r="BU24" s="546"/>
      <c r="BV24" s="546"/>
      <c r="BW24" s="546"/>
      <c r="BX24" s="546"/>
      <c r="BY24" s="546"/>
      <c r="BZ24" s="546"/>
      <c r="CA24" s="546"/>
      <c r="CB24" s="546"/>
      <c r="CC24" s="546"/>
      <c r="CD24" s="546"/>
      <c r="CE24" s="546"/>
      <c r="CF24" s="550">
        <f>SUM(Z13:AK24)/SUM(Z13:AK27)</f>
        <v>0.97974341661039843</v>
      </c>
      <c r="CG24" s="550"/>
      <c r="CH24" s="550"/>
      <c r="CI24" s="550"/>
      <c r="CJ24" s="550"/>
      <c r="CK24" s="550"/>
      <c r="CL24" s="550"/>
      <c r="CM24" s="550"/>
      <c r="CN24" s="550"/>
      <c r="CO24" s="550"/>
      <c r="CP24" s="550"/>
      <c r="CQ24" s="550"/>
      <c r="CR24" s="550"/>
      <c r="CS24" s="550"/>
      <c r="CT24" s="551">
        <f>BP23*CF24</f>
        <v>33.311276164753544</v>
      </c>
      <c r="CU24" s="551"/>
      <c r="CV24" s="551"/>
      <c r="CW24" s="551"/>
      <c r="CX24" s="551"/>
      <c r="CY24" s="551"/>
      <c r="CZ24" s="551"/>
      <c r="DA24" s="551"/>
      <c r="DB24" s="551"/>
      <c r="DC24" s="551"/>
      <c r="DD24" s="551"/>
      <c r="DE24" s="551"/>
      <c r="DF24" s="551"/>
      <c r="DG24" s="662"/>
      <c r="DH24" s="552"/>
      <c r="DI24" s="552"/>
      <c r="DJ24" s="552"/>
      <c r="DK24" s="552"/>
      <c r="DL24" s="552"/>
      <c r="DM24" s="552"/>
      <c r="DN24" s="552"/>
      <c r="DO24" s="552"/>
      <c r="DP24" s="552"/>
      <c r="DQ24" s="552"/>
      <c r="DR24" s="552"/>
      <c r="DS24" s="552"/>
      <c r="DT24" s="552"/>
      <c r="DU24" s="552"/>
      <c r="DV24" s="552"/>
      <c r="DW24" s="552"/>
      <c r="DX24" s="552"/>
      <c r="DY24" s="553"/>
      <c r="EA24" s="322">
        <v>412.5</v>
      </c>
    </row>
    <row r="25" spans="1:131" ht="19.95" customHeight="1" x14ac:dyDescent="0.4">
      <c r="A25" s="383"/>
      <c r="B25" s="388"/>
      <c r="C25" s="388"/>
      <c r="D25" s="388"/>
      <c r="E25" s="391"/>
      <c r="F25" s="391"/>
      <c r="G25" s="391"/>
      <c r="H25" s="391"/>
      <c r="I25" s="391"/>
      <c r="J25" s="391"/>
      <c r="K25" s="391"/>
      <c r="L25" s="391"/>
      <c r="M25" s="391"/>
      <c r="N25" s="391"/>
      <c r="O25" s="391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642"/>
      <c r="AA25" s="643"/>
      <c r="AB25" s="643"/>
      <c r="AC25" s="643"/>
      <c r="AD25" s="643"/>
      <c r="AE25" s="643"/>
      <c r="AF25" s="643"/>
      <c r="AG25" s="643"/>
      <c r="AH25" s="643"/>
      <c r="AI25" s="643"/>
      <c r="AJ25" s="643"/>
      <c r="AK25" s="644"/>
      <c r="AL25" s="511">
        <f t="shared" si="0"/>
        <v>0</v>
      </c>
      <c r="AM25" s="511"/>
      <c r="AN25" s="511"/>
      <c r="AO25" s="511"/>
      <c r="AP25" s="511"/>
      <c r="AQ25" s="511"/>
      <c r="AR25" s="511"/>
      <c r="AS25" s="511"/>
      <c r="AT25" s="511"/>
      <c r="AU25" s="511"/>
      <c r="AV25" s="511"/>
      <c r="AW25" s="511"/>
      <c r="AX25" s="511"/>
      <c r="AY25" s="512"/>
      <c r="AZ25" s="512"/>
      <c r="BA25" s="512"/>
      <c r="BB25" s="512"/>
      <c r="BC25" s="512"/>
      <c r="BD25" s="512"/>
      <c r="BE25" s="512"/>
      <c r="BF25" s="512"/>
      <c r="BG25" s="512"/>
      <c r="BH25" s="512"/>
      <c r="BI25" s="512"/>
      <c r="BJ25" s="512"/>
      <c r="BK25" s="512"/>
      <c r="BL25" s="513"/>
      <c r="BM25" s="326"/>
      <c r="BN25" s="326"/>
      <c r="BO25" s="326"/>
      <c r="BP25" s="545"/>
      <c r="BQ25" s="546"/>
      <c r="BR25" s="546"/>
      <c r="BS25" s="546"/>
      <c r="BT25" s="546"/>
      <c r="BU25" s="546"/>
      <c r="BV25" s="546"/>
      <c r="BW25" s="546"/>
      <c r="BX25" s="546"/>
      <c r="BY25" s="546"/>
      <c r="BZ25" s="546"/>
      <c r="CA25" s="546"/>
      <c r="CB25" s="546"/>
      <c r="CC25" s="546"/>
      <c r="CD25" s="546"/>
      <c r="CE25" s="546"/>
      <c r="CF25" s="550"/>
      <c r="CG25" s="550"/>
      <c r="CH25" s="550"/>
      <c r="CI25" s="550"/>
      <c r="CJ25" s="550"/>
      <c r="CK25" s="550"/>
      <c r="CL25" s="550"/>
      <c r="CM25" s="550"/>
      <c r="CN25" s="550"/>
      <c r="CO25" s="550"/>
      <c r="CP25" s="550"/>
      <c r="CQ25" s="550"/>
      <c r="CR25" s="550"/>
      <c r="CS25" s="550"/>
      <c r="CT25" s="551"/>
      <c r="CU25" s="551"/>
      <c r="CV25" s="551"/>
      <c r="CW25" s="551"/>
      <c r="CX25" s="551"/>
      <c r="CY25" s="551"/>
      <c r="CZ25" s="551"/>
      <c r="DA25" s="551"/>
      <c r="DB25" s="551"/>
      <c r="DC25" s="551"/>
      <c r="DD25" s="551"/>
      <c r="DE25" s="551"/>
      <c r="DF25" s="551"/>
      <c r="DG25" s="662"/>
      <c r="DH25" s="552"/>
      <c r="DI25" s="552"/>
      <c r="DJ25" s="552"/>
      <c r="DK25" s="552"/>
      <c r="DL25" s="552"/>
      <c r="DM25" s="552"/>
      <c r="DN25" s="552"/>
      <c r="DO25" s="552"/>
      <c r="DP25" s="552"/>
      <c r="DQ25" s="552"/>
      <c r="DR25" s="552"/>
      <c r="DS25" s="552"/>
      <c r="DT25" s="552"/>
      <c r="DU25" s="552"/>
      <c r="DV25" s="552"/>
      <c r="DW25" s="552"/>
      <c r="DX25" s="552"/>
      <c r="DY25" s="553"/>
      <c r="EA25" s="360">
        <v>0</v>
      </c>
    </row>
    <row r="26" spans="1:131" ht="19.95" customHeight="1" x14ac:dyDescent="0.4">
      <c r="A26" s="383">
        <v>12</v>
      </c>
      <c r="B26" s="388"/>
      <c r="C26" s="388"/>
      <c r="D26" s="388"/>
      <c r="E26" s="391" t="s">
        <v>427</v>
      </c>
      <c r="F26" s="391"/>
      <c r="G26" s="391"/>
      <c r="H26" s="391"/>
      <c r="I26" s="391"/>
      <c r="J26" s="391"/>
      <c r="K26" s="391"/>
      <c r="L26" s="391"/>
      <c r="M26" s="391"/>
      <c r="N26" s="391"/>
      <c r="O26" s="391"/>
      <c r="P26" s="391" t="s">
        <v>408</v>
      </c>
      <c r="Q26" s="391"/>
      <c r="R26" s="391"/>
      <c r="S26" s="391"/>
      <c r="T26" s="391"/>
      <c r="U26" s="391"/>
      <c r="V26" s="391"/>
      <c r="W26" s="391"/>
      <c r="X26" s="391"/>
      <c r="Y26" s="391"/>
      <c r="Z26" s="642">
        <v>5</v>
      </c>
      <c r="AA26" s="643"/>
      <c r="AB26" s="643"/>
      <c r="AC26" s="643"/>
      <c r="AD26" s="643"/>
      <c r="AE26" s="643"/>
      <c r="AF26" s="643"/>
      <c r="AG26" s="643"/>
      <c r="AH26" s="643"/>
      <c r="AI26" s="643"/>
      <c r="AJ26" s="643"/>
      <c r="AK26" s="644"/>
      <c r="AL26" s="511">
        <f t="shared" si="0"/>
        <v>10</v>
      </c>
      <c r="AM26" s="511"/>
      <c r="AN26" s="511"/>
      <c r="AO26" s="511"/>
      <c r="AP26" s="511"/>
      <c r="AQ26" s="511"/>
      <c r="AR26" s="511"/>
      <c r="AS26" s="511"/>
      <c r="AT26" s="511"/>
      <c r="AU26" s="511"/>
      <c r="AV26" s="511"/>
      <c r="AW26" s="511"/>
      <c r="AX26" s="511"/>
      <c r="AY26" s="512">
        <v>52</v>
      </c>
      <c r="AZ26" s="512"/>
      <c r="BA26" s="512"/>
      <c r="BB26" s="512"/>
      <c r="BC26" s="512"/>
      <c r="BD26" s="512"/>
      <c r="BE26" s="512"/>
      <c r="BF26" s="512"/>
      <c r="BG26" s="512"/>
      <c r="BH26" s="512"/>
      <c r="BI26" s="512"/>
      <c r="BJ26" s="512"/>
      <c r="BK26" s="512"/>
      <c r="BL26" s="513"/>
      <c r="BM26" s="326"/>
      <c r="BN26" s="326"/>
      <c r="BO26" s="326"/>
      <c r="BP26" s="545" t="s">
        <v>491</v>
      </c>
      <c r="BQ26" s="546"/>
      <c r="BR26" s="546"/>
      <c r="BS26" s="546"/>
      <c r="BT26" s="546"/>
      <c r="BU26" s="546"/>
      <c r="BV26" s="546"/>
      <c r="BW26" s="546"/>
      <c r="BX26" s="546"/>
      <c r="BY26" s="546"/>
      <c r="BZ26" s="546"/>
      <c r="CA26" s="546"/>
      <c r="CB26" s="546"/>
      <c r="CC26" s="546"/>
      <c r="CD26" s="546"/>
      <c r="CE26" s="546"/>
      <c r="CF26" s="550">
        <f>Z26/SUM(Z13:AK27)</f>
        <v>6.75219446320054E-3</v>
      </c>
      <c r="CG26" s="550"/>
      <c r="CH26" s="550"/>
      <c r="CI26" s="550"/>
      <c r="CJ26" s="550"/>
      <c r="CK26" s="550"/>
      <c r="CL26" s="550"/>
      <c r="CM26" s="550"/>
      <c r="CN26" s="550"/>
      <c r="CO26" s="550"/>
      <c r="CP26" s="550"/>
      <c r="CQ26" s="550"/>
      <c r="CR26" s="550"/>
      <c r="CS26" s="550"/>
      <c r="CT26" s="663">
        <f>BP23*CF26*1000</f>
        <v>229.57461174881834</v>
      </c>
      <c r="CU26" s="663"/>
      <c r="CV26" s="663"/>
      <c r="CW26" s="663"/>
      <c r="CX26" s="663"/>
      <c r="CY26" s="663"/>
      <c r="CZ26" s="663"/>
      <c r="DA26" s="663"/>
      <c r="DB26" s="663"/>
      <c r="DC26" s="663"/>
      <c r="DD26" s="663"/>
      <c r="DE26" s="663"/>
      <c r="DF26" s="663"/>
      <c r="DG26" s="664"/>
      <c r="DH26" s="552"/>
      <c r="DI26" s="552"/>
      <c r="DJ26" s="552"/>
      <c r="DK26" s="552"/>
      <c r="DL26" s="552"/>
      <c r="DM26" s="552"/>
      <c r="DN26" s="552"/>
      <c r="DO26" s="552"/>
      <c r="DP26" s="552"/>
      <c r="DQ26" s="552"/>
      <c r="DR26" s="552"/>
      <c r="DS26" s="552"/>
      <c r="DT26" s="552"/>
      <c r="DU26" s="552"/>
      <c r="DV26" s="552"/>
      <c r="DW26" s="552"/>
      <c r="DX26" s="552"/>
      <c r="DY26" s="553"/>
      <c r="EA26" s="360">
        <v>5</v>
      </c>
    </row>
    <row r="27" spans="1:131" ht="19.95" customHeight="1" x14ac:dyDescent="0.4">
      <c r="A27" s="383">
        <v>13</v>
      </c>
      <c r="B27" s="388"/>
      <c r="C27" s="388"/>
      <c r="D27" s="388"/>
      <c r="E27" s="390" t="s">
        <v>428</v>
      </c>
      <c r="F27" s="390"/>
      <c r="G27" s="390"/>
      <c r="H27" s="390"/>
      <c r="I27" s="390"/>
      <c r="J27" s="390"/>
      <c r="K27" s="390"/>
      <c r="L27" s="390"/>
      <c r="M27" s="390"/>
      <c r="N27" s="390"/>
      <c r="O27" s="390"/>
      <c r="P27" s="407" t="s">
        <v>409</v>
      </c>
      <c r="Q27" s="407"/>
      <c r="R27" s="407"/>
      <c r="S27" s="407"/>
      <c r="T27" s="407"/>
      <c r="U27" s="407"/>
      <c r="V27" s="407"/>
      <c r="W27" s="407"/>
      <c r="X27" s="407"/>
      <c r="Y27" s="407"/>
      <c r="Z27" s="650">
        <v>10</v>
      </c>
      <c r="AA27" s="651"/>
      <c r="AB27" s="651"/>
      <c r="AC27" s="651"/>
      <c r="AD27" s="651"/>
      <c r="AE27" s="651"/>
      <c r="AF27" s="651"/>
      <c r="AG27" s="651"/>
      <c r="AH27" s="651"/>
      <c r="AI27" s="651"/>
      <c r="AJ27" s="651"/>
      <c r="AK27" s="652"/>
      <c r="AL27" s="511">
        <f t="shared" si="0"/>
        <v>20</v>
      </c>
      <c r="AM27" s="511"/>
      <c r="AN27" s="511"/>
      <c r="AO27" s="511"/>
      <c r="AP27" s="511"/>
      <c r="AQ27" s="511"/>
      <c r="AR27" s="511"/>
      <c r="AS27" s="511"/>
      <c r="AT27" s="511"/>
      <c r="AU27" s="511"/>
      <c r="AV27" s="511"/>
      <c r="AW27" s="511"/>
      <c r="AX27" s="511"/>
      <c r="AY27" s="512">
        <v>88</v>
      </c>
      <c r="AZ27" s="512"/>
      <c r="BA27" s="512"/>
      <c r="BB27" s="512"/>
      <c r="BC27" s="512"/>
      <c r="BD27" s="512"/>
      <c r="BE27" s="512"/>
      <c r="BF27" s="512"/>
      <c r="BG27" s="512"/>
      <c r="BH27" s="512"/>
      <c r="BI27" s="512"/>
      <c r="BJ27" s="512"/>
      <c r="BK27" s="512"/>
      <c r="BL27" s="513"/>
      <c r="BM27" s="326"/>
      <c r="BN27" s="326"/>
      <c r="BO27" s="326"/>
      <c r="BP27" s="545"/>
      <c r="BQ27" s="546"/>
      <c r="BR27" s="546"/>
      <c r="BS27" s="546"/>
      <c r="BT27" s="546"/>
      <c r="BU27" s="546"/>
      <c r="BV27" s="546"/>
      <c r="BW27" s="546"/>
      <c r="BX27" s="546"/>
      <c r="BY27" s="546"/>
      <c r="BZ27" s="546"/>
      <c r="CA27" s="546"/>
      <c r="CB27" s="546"/>
      <c r="CC27" s="546"/>
      <c r="CD27" s="546"/>
      <c r="CE27" s="546"/>
      <c r="CF27" s="550"/>
      <c r="CG27" s="550"/>
      <c r="CH27" s="550"/>
      <c r="CI27" s="550"/>
      <c r="CJ27" s="550"/>
      <c r="CK27" s="550"/>
      <c r="CL27" s="550"/>
      <c r="CM27" s="550"/>
      <c r="CN27" s="550"/>
      <c r="CO27" s="550"/>
      <c r="CP27" s="550"/>
      <c r="CQ27" s="550"/>
      <c r="CR27" s="550"/>
      <c r="CS27" s="550"/>
      <c r="CT27" s="663"/>
      <c r="CU27" s="663"/>
      <c r="CV27" s="663"/>
      <c r="CW27" s="663"/>
      <c r="CX27" s="663"/>
      <c r="CY27" s="663"/>
      <c r="CZ27" s="663"/>
      <c r="DA27" s="663"/>
      <c r="DB27" s="663"/>
      <c r="DC27" s="663"/>
      <c r="DD27" s="663"/>
      <c r="DE27" s="663"/>
      <c r="DF27" s="663"/>
      <c r="DG27" s="664"/>
      <c r="DH27" s="552"/>
      <c r="DI27" s="552"/>
      <c r="DJ27" s="552"/>
      <c r="DK27" s="552"/>
      <c r="DL27" s="552"/>
      <c r="DM27" s="552"/>
      <c r="DN27" s="552"/>
      <c r="DO27" s="552"/>
      <c r="DP27" s="552"/>
      <c r="DQ27" s="552"/>
      <c r="DR27" s="552"/>
      <c r="DS27" s="552"/>
      <c r="DT27" s="552"/>
      <c r="DU27" s="552"/>
      <c r="DV27" s="552"/>
      <c r="DW27" s="552"/>
      <c r="DX27" s="552"/>
      <c r="DY27" s="553"/>
      <c r="EA27" s="322">
        <v>10</v>
      </c>
    </row>
    <row r="28" spans="1:131" ht="19.95" customHeight="1" x14ac:dyDescent="0.4">
      <c r="A28" s="383">
        <v>14</v>
      </c>
      <c r="B28" s="388"/>
      <c r="C28" s="388"/>
      <c r="D28" s="388"/>
      <c r="E28" s="390" t="s">
        <v>440</v>
      </c>
      <c r="F28" s="390"/>
      <c r="G28" s="390"/>
      <c r="H28" s="390"/>
      <c r="I28" s="390"/>
      <c r="J28" s="390"/>
      <c r="K28" s="390"/>
      <c r="L28" s="390"/>
      <c r="M28" s="390"/>
      <c r="N28" s="390"/>
      <c r="O28" s="390"/>
      <c r="P28" s="407" t="s">
        <v>441</v>
      </c>
      <c r="Q28" s="407"/>
      <c r="R28" s="407"/>
      <c r="S28" s="407"/>
      <c r="T28" s="407"/>
      <c r="U28" s="407"/>
      <c r="V28" s="407"/>
      <c r="W28" s="407"/>
      <c r="X28" s="407"/>
      <c r="Y28" s="407"/>
      <c r="Z28" s="568">
        <v>0.31</v>
      </c>
      <c r="AA28" s="568"/>
      <c r="AB28" s="568"/>
      <c r="AC28" s="568"/>
      <c r="AD28" s="568"/>
      <c r="AE28" s="569">
        <f>SUM(Z13:AJ27)/(1-Z28)*Z28</f>
        <v>332.68840579710144</v>
      </c>
      <c r="AF28" s="569"/>
      <c r="AG28" s="569"/>
      <c r="AH28" s="569"/>
      <c r="AI28" s="569"/>
      <c r="AJ28" s="569"/>
      <c r="AK28" s="569"/>
      <c r="AL28" s="570">
        <f>AE28*$DJ$6</f>
        <v>665.37681159420288</v>
      </c>
      <c r="AM28" s="570"/>
      <c r="AN28" s="570"/>
      <c r="AO28" s="570"/>
      <c r="AP28" s="570"/>
      <c r="AQ28" s="570"/>
      <c r="AR28" s="570"/>
      <c r="AS28" s="570"/>
      <c r="AT28" s="570"/>
      <c r="AU28" s="570"/>
      <c r="AV28" s="570"/>
      <c r="AW28" s="570"/>
      <c r="AX28" s="570"/>
      <c r="AY28" s="512" t="e">
        <f>Q60</f>
        <v>#DIV/0!</v>
      </c>
      <c r="AZ28" s="512"/>
      <c r="BA28" s="512"/>
      <c r="BB28" s="512"/>
      <c r="BC28" s="512"/>
      <c r="BD28" s="512"/>
      <c r="BE28" s="512"/>
      <c r="BF28" s="512"/>
      <c r="BG28" s="512"/>
      <c r="BH28" s="512"/>
      <c r="BI28" s="512"/>
      <c r="BJ28" s="512"/>
      <c r="BK28" s="512"/>
      <c r="BL28" s="513"/>
      <c r="BM28" s="326"/>
      <c r="BN28" s="326"/>
      <c r="BO28" s="326"/>
      <c r="BP28" s="545" t="s">
        <v>490</v>
      </c>
      <c r="BQ28" s="546"/>
      <c r="BR28" s="546"/>
      <c r="BS28" s="546"/>
      <c r="BT28" s="546"/>
      <c r="BU28" s="546"/>
      <c r="BV28" s="546"/>
      <c r="BW28" s="546"/>
      <c r="BX28" s="546"/>
      <c r="BY28" s="546"/>
      <c r="BZ28" s="546"/>
      <c r="CA28" s="546"/>
      <c r="CB28" s="546"/>
      <c r="CC28" s="546"/>
      <c r="CD28" s="546"/>
      <c r="CE28" s="546"/>
      <c r="CF28" s="550">
        <f>Z27/SUM(Z13:AK27)</f>
        <v>1.350438892640108E-2</v>
      </c>
      <c r="CG28" s="550"/>
      <c r="CH28" s="550"/>
      <c r="CI28" s="550"/>
      <c r="CJ28" s="550"/>
      <c r="CK28" s="550"/>
      <c r="CL28" s="550"/>
      <c r="CM28" s="550"/>
      <c r="CN28" s="550"/>
      <c r="CO28" s="550"/>
      <c r="CP28" s="550"/>
      <c r="CQ28" s="550"/>
      <c r="CR28" s="550"/>
      <c r="CS28" s="550"/>
      <c r="CT28" s="663">
        <f>BP23*CF28*1000</f>
        <v>459.14922349763668</v>
      </c>
      <c r="CU28" s="663"/>
      <c r="CV28" s="663"/>
      <c r="CW28" s="663"/>
      <c r="CX28" s="663"/>
      <c r="CY28" s="663"/>
      <c r="CZ28" s="663"/>
      <c r="DA28" s="663"/>
      <c r="DB28" s="663"/>
      <c r="DC28" s="663"/>
      <c r="DD28" s="663"/>
      <c r="DE28" s="663"/>
      <c r="DF28" s="663"/>
      <c r="DG28" s="664"/>
      <c r="DH28" s="552"/>
      <c r="DI28" s="552"/>
      <c r="DJ28" s="552"/>
      <c r="DK28" s="552"/>
      <c r="DL28" s="552"/>
      <c r="DM28" s="552"/>
      <c r="DN28" s="552"/>
      <c r="DO28" s="552"/>
      <c r="DP28" s="552"/>
      <c r="DQ28" s="552"/>
      <c r="DR28" s="552"/>
      <c r="DS28" s="552"/>
      <c r="DT28" s="552"/>
      <c r="DU28" s="552"/>
      <c r="DV28" s="552"/>
      <c r="DW28" s="552"/>
      <c r="DX28" s="552"/>
      <c r="DY28" s="553"/>
      <c r="EA28" s="322">
        <v>0.155</v>
      </c>
    </row>
    <row r="29" spans="1:131" ht="25.05" customHeight="1" thickBot="1" x14ac:dyDescent="0.45">
      <c r="A29" s="562" t="s">
        <v>410</v>
      </c>
      <c r="B29" s="563"/>
      <c r="C29" s="563"/>
      <c r="D29" s="563"/>
      <c r="E29" s="563"/>
      <c r="F29" s="563"/>
      <c r="G29" s="563"/>
      <c r="H29" s="563"/>
      <c r="I29" s="563"/>
      <c r="J29" s="563"/>
      <c r="K29" s="563"/>
      <c r="L29" s="563"/>
      <c r="M29" s="563"/>
      <c r="N29" s="563"/>
      <c r="O29" s="563"/>
      <c r="P29" s="563"/>
      <c r="Q29" s="563"/>
      <c r="R29" s="563"/>
      <c r="S29" s="563"/>
      <c r="T29" s="563"/>
      <c r="U29" s="563"/>
      <c r="V29" s="563"/>
      <c r="W29" s="563"/>
      <c r="X29" s="563"/>
      <c r="Y29" s="563"/>
      <c r="Z29" s="564">
        <f>SUM(Z13:AK27)+AE28</f>
        <v>1073.1884057971015</v>
      </c>
      <c r="AA29" s="564"/>
      <c r="AB29" s="564"/>
      <c r="AC29" s="564"/>
      <c r="AD29" s="564"/>
      <c r="AE29" s="564"/>
      <c r="AF29" s="564"/>
      <c r="AG29" s="564"/>
      <c r="AH29" s="564"/>
      <c r="AI29" s="564"/>
      <c r="AJ29" s="564"/>
      <c r="AK29" s="564"/>
      <c r="AL29" s="565">
        <f>SUM(AL13:AX28)</f>
        <v>2094.876811594203</v>
      </c>
      <c r="AM29" s="565"/>
      <c r="AN29" s="565"/>
      <c r="AO29" s="565"/>
      <c r="AP29" s="565"/>
      <c r="AQ29" s="565"/>
      <c r="AR29" s="565"/>
      <c r="AS29" s="565"/>
      <c r="AT29" s="565"/>
      <c r="AU29" s="565"/>
      <c r="AV29" s="565"/>
      <c r="AW29" s="565"/>
      <c r="AX29" s="565"/>
      <c r="AY29" s="566" t="e">
        <f>SUM(AY13:BL28)</f>
        <v>#DIV/0!</v>
      </c>
      <c r="AZ29" s="566"/>
      <c r="BA29" s="566"/>
      <c r="BB29" s="566"/>
      <c r="BC29" s="566"/>
      <c r="BD29" s="566"/>
      <c r="BE29" s="566"/>
      <c r="BF29" s="566"/>
      <c r="BG29" s="566"/>
      <c r="BH29" s="566"/>
      <c r="BI29" s="566"/>
      <c r="BJ29" s="566"/>
      <c r="BK29" s="566"/>
      <c r="BL29" s="567"/>
      <c r="BM29" s="326"/>
      <c r="BN29" s="326"/>
      <c r="BO29" s="326"/>
      <c r="BP29" s="556"/>
      <c r="BQ29" s="557"/>
      <c r="BR29" s="557"/>
      <c r="BS29" s="557"/>
      <c r="BT29" s="557"/>
      <c r="BU29" s="557"/>
      <c r="BV29" s="557"/>
      <c r="BW29" s="557"/>
      <c r="BX29" s="557"/>
      <c r="BY29" s="557"/>
      <c r="BZ29" s="557"/>
      <c r="CA29" s="557"/>
      <c r="CB29" s="557"/>
      <c r="CC29" s="557"/>
      <c r="CD29" s="557"/>
      <c r="CE29" s="557"/>
      <c r="CF29" s="558"/>
      <c r="CG29" s="558"/>
      <c r="CH29" s="558"/>
      <c r="CI29" s="558"/>
      <c r="CJ29" s="558"/>
      <c r="CK29" s="558"/>
      <c r="CL29" s="558"/>
      <c r="CM29" s="558"/>
      <c r="CN29" s="558"/>
      <c r="CO29" s="558"/>
      <c r="CP29" s="558"/>
      <c r="CQ29" s="558"/>
      <c r="CR29" s="558"/>
      <c r="CS29" s="558"/>
      <c r="CT29" s="665"/>
      <c r="CU29" s="665"/>
      <c r="CV29" s="665"/>
      <c r="CW29" s="665"/>
      <c r="CX29" s="665"/>
      <c r="CY29" s="665"/>
      <c r="CZ29" s="665"/>
      <c r="DA29" s="665"/>
      <c r="DB29" s="665"/>
      <c r="DC29" s="665"/>
      <c r="DD29" s="665"/>
      <c r="DE29" s="665"/>
      <c r="DF29" s="665"/>
      <c r="DG29" s="666"/>
      <c r="DH29" s="560"/>
      <c r="DI29" s="560"/>
      <c r="DJ29" s="560"/>
      <c r="DK29" s="560"/>
      <c r="DL29" s="560"/>
      <c r="DM29" s="560"/>
      <c r="DN29" s="560"/>
      <c r="DO29" s="560"/>
      <c r="DP29" s="560"/>
      <c r="DQ29" s="560"/>
      <c r="DR29" s="560"/>
      <c r="DS29" s="560"/>
      <c r="DT29" s="560"/>
      <c r="DU29" s="560"/>
      <c r="DV29" s="560"/>
      <c r="DW29" s="560"/>
      <c r="DX29" s="560"/>
      <c r="DY29" s="561"/>
    </row>
    <row r="30" spans="1:131" ht="19.95" customHeight="1" x14ac:dyDescent="0.4">
      <c r="A30" s="327"/>
      <c r="B30" s="330"/>
      <c r="C30" s="330"/>
      <c r="D30" s="330"/>
      <c r="E30" s="330"/>
      <c r="F30" s="330"/>
      <c r="G30" s="330"/>
      <c r="H30" s="330"/>
      <c r="I30" s="330"/>
      <c r="J30" s="330"/>
      <c r="K30" s="330"/>
      <c r="L30" s="330"/>
      <c r="M30" s="330"/>
      <c r="N30" s="330"/>
      <c r="O30" s="330"/>
      <c r="P30" s="330"/>
      <c r="Q30" s="330"/>
      <c r="R30" s="330"/>
      <c r="S30" s="330"/>
      <c r="T30" s="330"/>
      <c r="U30" s="330"/>
      <c r="V30" s="330"/>
      <c r="W30" s="330"/>
      <c r="X30" s="330"/>
      <c r="Y30" s="330"/>
      <c r="Z30" s="330"/>
      <c r="AA30" s="330"/>
      <c r="AB30" s="330"/>
      <c r="AC30" s="330"/>
      <c r="AD30" s="330"/>
      <c r="AE30" s="330"/>
      <c r="AF30" s="330"/>
      <c r="AG30" s="330"/>
      <c r="AH30" s="330"/>
      <c r="AI30" s="330"/>
      <c r="AJ30" s="330"/>
      <c r="AK30" s="330"/>
      <c r="AL30" s="330"/>
      <c r="AM30" s="330"/>
      <c r="AN30" s="330"/>
      <c r="AO30" s="330"/>
      <c r="AP30" s="330"/>
      <c r="AQ30" s="330"/>
      <c r="AR30" s="330"/>
      <c r="AS30" s="330"/>
      <c r="AT30" s="330"/>
      <c r="AU30" s="330"/>
      <c r="AV30" s="330"/>
      <c r="AW30" s="330"/>
      <c r="AX30" s="330"/>
      <c r="AY30" s="330"/>
      <c r="AZ30" s="330"/>
      <c r="BA30" s="330"/>
      <c r="BB30" s="330"/>
      <c r="BC30" s="330"/>
      <c r="BD30" s="330"/>
      <c r="BE30" s="330"/>
      <c r="BF30" s="330"/>
      <c r="BG30" s="330"/>
      <c r="BH30" s="330"/>
      <c r="BI30" s="330"/>
      <c r="BJ30" s="330"/>
      <c r="BK30" s="330"/>
      <c r="BL30" s="330"/>
      <c r="BM30" s="330"/>
      <c r="BN30" s="330"/>
      <c r="BO30" s="330"/>
      <c r="BP30" s="330"/>
      <c r="BQ30" s="330"/>
      <c r="BR30" s="330"/>
      <c r="BS30" s="330"/>
      <c r="BT30" s="330"/>
      <c r="BU30" s="330"/>
      <c r="BV30" s="330"/>
      <c r="BW30" s="330"/>
      <c r="BX30" s="330"/>
      <c r="BY30" s="330"/>
      <c r="BZ30" s="330"/>
      <c r="CA30" s="330"/>
      <c r="CB30" s="330"/>
      <c r="CC30" s="330"/>
      <c r="CD30" s="330"/>
      <c r="CE30" s="330"/>
      <c r="CF30" s="330"/>
      <c r="CG30" s="330"/>
      <c r="CH30" s="330"/>
      <c r="CI30" s="330"/>
      <c r="CJ30" s="330"/>
      <c r="CK30" s="330"/>
      <c r="CL30" s="330"/>
      <c r="CM30" s="330"/>
      <c r="CN30" s="330"/>
      <c r="CO30" s="330"/>
      <c r="CP30" s="330"/>
      <c r="CQ30" s="330"/>
      <c r="CR30" s="330"/>
      <c r="CS30" s="330"/>
      <c r="CT30" s="330"/>
      <c r="CU30" s="330"/>
      <c r="CV30" s="330"/>
      <c r="CW30" s="330"/>
      <c r="CX30" s="330"/>
      <c r="CY30" s="330"/>
      <c r="CZ30" s="330"/>
      <c r="DA30" s="330"/>
      <c r="DB30" s="330"/>
      <c r="DC30" s="330"/>
      <c r="DD30" s="330"/>
      <c r="DE30" s="330"/>
      <c r="DF30" s="330"/>
      <c r="DG30" s="330"/>
      <c r="DH30" s="330"/>
      <c r="DI30" s="330"/>
      <c r="DJ30" s="330"/>
      <c r="DK30" s="330"/>
      <c r="DL30" s="330"/>
      <c r="DM30" s="330"/>
      <c r="DN30" s="330"/>
      <c r="DO30" s="330"/>
      <c r="DP30" s="330"/>
      <c r="DQ30" s="330"/>
      <c r="DR30" s="330"/>
      <c r="DS30" s="330"/>
      <c r="DT30" s="330"/>
      <c r="DU30" s="330"/>
      <c r="DV30" s="330"/>
      <c r="DW30" s="330"/>
      <c r="DX30" s="330"/>
      <c r="DY30" s="330"/>
    </row>
    <row r="31" spans="1:131" ht="25.05" customHeight="1" x14ac:dyDescent="0.4">
      <c r="A31" s="449" t="s">
        <v>521</v>
      </c>
      <c r="B31" s="449"/>
      <c r="C31" s="449"/>
      <c r="D31" s="449"/>
      <c r="E31" s="449"/>
      <c r="F31" s="449"/>
      <c r="G31" s="449"/>
      <c r="H31" s="449"/>
      <c r="I31" s="449"/>
      <c r="J31" s="449"/>
      <c r="K31" s="449"/>
      <c r="L31" s="449"/>
      <c r="M31" s="449"/>
      <c r="N31" s="449"/>
      <c r="O31" s="449"/>
      <c r="P31" s="449"/>
      <c r="Q31" s="449"/>
      <c r="R31" s="449"/>
      <c r="S31" s="449"/>
      <c r="T31" s="449"/>
      <c r="U31" s="449"/>
      <c r="V31" s="449"/>
      <c r="W31" s="449"/>
      <c r="X31" s="449"/>
      <c r="Y31" s="449"/>
      <c r="Z31" s="449"/>
      <c r="AA31" s="449"/>
      <c r="AB31" s="449"/>
      <c r="AC31" s="449"/>
      <c r="AD31" s="449"/>
      <c r="AE31" s="449"/>
      <c r="AF31" s="449"/>
      <c r="AG31" s="449"/>
      <c r="AH31" s="449"/>
      <c r="AI31" s="449"/>
      <c r="AJ31" s="449"/>
      <c r="AK31" s="449"/>
      <c r="AL31" s="449"/>
      <c r="AM31" s="449"/>
      <c r="AN31" s="449"/>
      <c r="AO31" s="449"/>
      <c r="AP31" s="449"/>
      <c r="AQ31" s="449"/>
      <c r="AR31" s="449"/>
      <c r="AS31" s="449"/>
      <c r="AT31" s="449"/>
      <c r="AU31" s="449"/>
      <c r="AV31" s="449"/>
      <c r="AW31" s="449"/>
      <c r="AX31" s="449"/>
      <c r="AY31" s="449"/>
      <c r="AZ31" s="449"/>
      <c r="BA31" s="449"/>
      <c r="BB31" s="449"/>
      <c r="BC31" s="449"/>
      <c r="BD31" s="449"/>
      <c r="BE31" s="449"/>
      <c r="BF31" s="449"/>
      <c r="BG31" s="449"/>
      <c r="BH31" s="449"/>
      <c r="BI31" s="449"/>
      <c r="BJ31" s="449"/>
      <c r="BK31" s="449"/>
      <c r="BL31" s="449"/>
      <c r="BM31" s="449"/>
      <c r="BN31" s="449"/>
      <c r="BO31" s="449"/>
      <c r="BP31" s="449"/>
      <c r="BQ31" s="449"/>
      <c r="BR31" s="449"/>
      <c r="BS31" s="449"/>
      <c r="BT31" s="449"/>
      <c r="BU31" s="449"/>
      <c r="BV31" s="449"/>
      <c r="BW31" s="449"/>
      <c r="BX31" s="449"/>
      <c r="BY31" s="449"/>
      <c r="BZ31" s="449"/>
      <c r="CA31" s="449"/>
      <c r="CB31" s="449"/>
      <c r="CC31" s="449"/>
      <c r="CD31" s="449"/>
      <c r="CE31" s="449"/>
      <c r="CF31" s="449"/>
      <c r="CG31" s="449"/>
      <c r="CH31" s="449"/>
      <c r="CI31" s="449"/>
      <c r="CJ31" s="449"/>
      <c r="CK31" s="449"/>
      <c r="CL31" s="449"/>
      <c r="CM31" s="449"/>
      <c r="CN31" s="449"/>
      <c r="CO31" s="449"/>
      <c r="CP31" s="449"/>
      <c r="CQ31" s="449"/>
      <c r="CR31" s="449"/>
      <c r="CS31" s="449"/>
      <c r="CT31" s="449"/>
      <c r="CU31" s="449"/>
      <c r="CV31" s="449"/>
      <c r="CW31" s="449"/>
      <c r="CX31" s="449"/>
      <c r="CY31" s="449"/>
      <c r="CZ31" s="449"/>
      <c r="DA31" s="449"/>
      <c r="DB31" s="449"/>
      <c r="DC31" s="449"/>
      <c r="DD31" s="449"/>
      <c r="DE31" s="449"/>
      <c r="DF31" s="449"/>
      <c r="DG31" s="449"/>
      <c r="DH31" s="449"/>
      <c r="DI31" s="449"/>
      <c r="DJ31" s="449"/>
      <c r="DK31" s="449"/>
      <c r="DL31" s="449"/>
      <c r="DM31" s="449"/>
      <c r="DN31" s="449"/>
      <c r="DO31" s="449"/>
      <c r="DP31" s="449"/>
      <c r="DQ31" s="449"/>
      <c r="DR31" s="449"/>
      <c r="DS31" s="449"/>
      <c r="DT31" s="449"/>
      <c r="DU31" s="449"/>
      <c r="DV31" s="449"/>
      <c r="DW31" s="449"/>
      <c r="DX31" s="449"/>
      <c r="DY31" s="449"/>
    </row>
    <row r="32" spans="1:131" ht="10.050000000000001" customHeight="1" thickBot="1" x14ac:dyDescent="0.45">
      <c r="A32" s="327"/>
      <c r="B32" s="330"/>
      <c r="C32" s="330"/>
      <c r="D32" s="330"/>
      <c r="E32" s="330"/>
      <c r="F32" s="330"/>
      <c r="G32" s="330"/>
      <c r="H32" s="330"/>
      <c r="I32" s="330"/>
      <c r="J32" s="330"/>
      <c r="K32" s="330"/>
      <c r="L32" s="330"/>
      <c r="M32" s="330"/>
      <c r="N32" s="330"/>
      <c r="O32" s="330"/>
      <c r="P32" s="330"/>
      <c r="Q32" s="330"/>
      <c r="R32" s="330"/>
      <c r="S32" s="330"/>
      <c r="T32" s="330"/>
      <c r="U32" s="330"/>
      <c r="V32" s="330"/>
      <c r="W32" s="330"/>
      <c r="X32" s="330"/>
      <c r="Y32" s="330"/>
      <c r="Z32" s="330"/>
      <c r="AA32" s="330"/>
      <c r="AB32" s="330"/>
      <c r="AC32" s="330"/>
      <c r="AD32" s="330"/>
      <c r="AE32" s="330"/>
      <c r="AF32" s="330"/>
      <c r="AG32" s="330"/>
      <c r="AH32" s="330"/>
      <c r="AI32" s="330"/>
      <c r="AJ32" s="330"/>
      <c r="AK32" s="330"/>
      <c r="AL32" s="330"/>
      <c r="AM32" s="330"/>
      <c r="AN32" s="330"/>
      <c r="AO32" s="330"/>
      <c r="AP32" s="330"/>
      <c r="AQ32" s="330"/>
      <c r="AR32" s="330"/>
      <c r="AS32" s="330"/>
      <c r="AT32" s="330"/>
      <c r="AU32" s="330"/>
      <c r="AV32" s="330"/>
      <c r="AW32" s="330"/>
      <c r="AX32" s="330"/>
      <c r="AY32" s="330"/>
      <c r="AZ32" s="330"/>
      <c r="BA32" s="330"/>
      <c r="BB32" s="330"/>
      <c r="BC32" s="330"/>
      <c r="BD32" s="330"/>
      <c r="BE32" s="330"/>
      <c r="BF32" s="330"/>
      <c r="BG32" s="330"/>
      <c r="BH32" s="330"/>
      <c r="BI32" s="330"/>
      <c r="BJ32" s="330"/>
      <c r="BK32" s="330"/>
      <c r="BL32" s="330"/>
      <c r="BM32" s="330"/>
      <c r="BN32" s="330"/>
      <c r="BO32" s="330"/>
      <c r="BP32" s="330"/>
      <c r="BQ32" s="330"/>
      <c r="BR32" s="330"/>
      <c r="BS32" s="330"/>
      <c r="BT32" s="330"/>
      <c r="BU32" s="330"/>
      <c r="BV32" s="330"/>
      <c r="BW32" s="330"/>
      <c r="BX32" s="330"/>
      <c r="BY32" s="330"/>
      <c r="BZ32" s="330"/>
      <c r="CA32" s="330"/>
      <c r="CB32" s="330"/>
      <c r="CC32" s="330"/>
      <c r="CD32" s="330"/>
      <c r="CE32" s="330"/>
      <c r="CF32" s="330"/>
      <c r="CG32" s="330"/>
      <c r="CH32" s="330"/>
      <c r="CI32" s="330"/>
      <c r="CJ32" s="330"/>
      <c r="CK32" s="330"/>
      <c r="CL32" s="330"/>
      <c r="CM32" s="330"/>
      <c r="CN32" s="330"/>
      <c r="CO32" s="330"/>
      <c r="CP32" s="330"/>
      <c r="CQ32" s="330"/>
      <c r="CR32" s="330"/>
      <c r="CS32" s="330"/>
      <c r="CT32" s="330"/>
      <c r="CU32" s="330"/>
      <c r="CV32" s="330"/>
      <c r="CW32" s="330"/>
      <c r="CX32" s="330"/>
      <c r="CY32" s="330"/>
      <c r="CZ32" s="330"/>
      <c r="DA32" s="330"/>
      <c r="DB32" s="330"/>
      <c r="DC32" s="330"/>
      <c r="DD32" s="330"/>
      <c r="DE32" s="330"/>
      <c r="DF32" s="330"/>
      <c r="DG32" s="330"/>
      <c r="DH32" s="330"/>
      <c r="DI32" s="330"/>
      <c r="DJ32" s="330"/>
      <c r="DK32" s="330"/>
      <c r="DL32" s="330"/>
      <c r="DM32" s="330"/>
      <c r="DN32" s="330"/>
      <c r="DO32" s="330"/>
      <c r="DP32" s="330"/>
      <c r="DQ32" s="330"/>
      <c r="DR32" s="330"/>
      <c r="DS32" s="330"/>
      <c r="DT32" s="330"/>
      <c r="DU32" s="330"/>
      <c r="DV32" s="330"/>
      <c r="DW32" s="330"/>
      <c r="DX32" s="330"/>
      <c r="DY32" s="330"/>
    </row>
    <row r="33" spans="1:130" ht="25.05" customHeight="1" x14ac:dyDescent="0.4">
      <c r="A33" s="571" t="s">
        <v>505</v>
      </c>
      <c r="B33" s="572"/>
      <c r="C33" s="572"/>
      <c r="D33" s="572"/>
      <c r="E33" s="575" t="s">
        <v>508</v>
      </c>
      <c r="F33" s="575"/>
      <c r="G33" s="575"/>
      <c r="H33" s="575"/>
      <c r="I33" s="575"/>
      <c r="J33" s="575"/>
      <c r="K33" s="575" t="s">
        <v>509</v>
      </c>
      <c r="L33" s="575"/>
      <c r="M33" s="575"/>
      <c r="N33" s="575"/>
      <c r="O33" s="575"/>
      <c r="P33" s="575"/>
      <c r="Q33" s="575"/>
      <c r="R33" s="576" t="s">
        <v>516</v>
      </c>
      <c r="S33" s="576"/>
      <c r="T33" s="576"/>
      <c r="U33" s="576"/>
      <c r="V33" s="576"/>
      <c r="W33" s="576"/>
      <c r="X33" s="576"/>
      <c r="Y33" s="576"/>
      <c r="Z33" s="576"/>
      <c r="AA33" s="576" t="s">
        <v>512</v>
      </c>
      <c r="AB33" s="498"/>
      <c r="AC33" s="498"/>
      <c r="AD33" s="498"/>
      <c r="AE33" s="498"/>
      <c r="AF33" s="498"/>
      <c r="AG33" s="498"/>
      <c r="AH33" s="498"/>
      <c r="AI33" s="498"/>
      <c r="AJ33" s="575" t="s">
        <v>531</v>
      </c>
      <c r="AK33" s="575"/>
      <c r="AL33" s="575"/>
      <c r="AM33" s="575"/>
      <c r="AN33" s="575"/>
      <c r="AO33" s="575"/>
      <c r="AP33" s="575"/>
      <c r="AQ33" s="575"/>
      <c r="AR33" s="575"/>
      <c r="AS33" s="575"/>
      <c r="AT33" s="576" t="s">
        <v>515</v>
      </c>
      <c r="AU33" s="576"/>
      <c r="AV33" s="576"/>
      <c r="AW33" s="576"/>
      <c r="AX33" s="576"/>
      <c r="AY33" s="576"/>
      <c r="AZ33" s="576"/>
      <c r="BA33" s="576"/>
      <c r="BB33" s="576"/>
      <c r="BC33" s="576"/>
      <c r="BD33" s="575" t="s">
        <v>513</v>
      </c>
      <c r="BE33" s="575"/>
      <c r="BF33" s="575"/>
      <c r="BG33" s="575"/>
      <c r="BH33" s="575"/>
      <c r="BI33" s="575"/>
      <c r="BJ33" s="575"/>
      <c r="BK33" s="575"/>
      <c r="BL33" s="575"/>
      <c r="BM33" s="575"/>
      <c r="BN33" s="575" t="s">
        <v>519</v>
      </c>
      <c r="BO33" s="575"/>
      <c r="BP33" s="575"/>
      <c r="BQ33" s="575"/>
      <c r="BR33" s="575"/>
      <c r="BS33" s="575"/>
      <c r="BT33" s="575"/>
      <c r="BU33" s="575"/>
      <c r="BV33" s="575"/>
      <c r="BW33" s="575"/>
      <c r="BX33" s="575" t="s">
        <v>510</v>
      </c>
      <c r="BY33" s="575"/>
      <c r="BZ33" s="575"/>
      <c r="CA33" s="575"/>
      <c r="CB33" s="575"/>
      <c r="CC33" s="575"/>
      <c r="CD33" s="575"/>
      <c r="CE33" s="575"/>
      <c r="CF33" s="575"/>
      <c r="CG33" s="575"/>
      <c r="CH33" s="575" t="s">
        <v>511</v>
      </c>
      <c r="CI33" s="575"/>
      <c r="CJ33" s="575"/>
      <c r="CK33" s="575"/>
      <c r="CL33" s="575"/>
      <c r="CM33" s="575"/>
      <c r="CN33" s="575"/>
      <c r="CO33" s="575"/>
      <c r="CP33" s="575"/>
      <c r="CQ33" s="575"/>
      <c r="CR33" s="576" t="s">
        <v>507</v>
      </c>
      <c r="CS33" s="576"/>
      <c r="CT33" s="576"/>
      <c r="CU33" s="576"/>
      <c r="CV33" s="576"/>
      <c r="CW33" s="576"/>
      <c r="CX33" s="576"/>
      <c r="CY33" s="576"/>
      <c r="CZ33" s="576"/>
      <c r="DA33" s="576"/>
      <c r="DB33" s="576"/>
      <c r="DC33" s="576"/>
      <c r="DD33" s="498" t="s">
        <v>119</v>
      </c>
      <c r="DE33" s="498"/>
      <c r="DF33" s="498"/>
      <c r="DG33" s="498"/>
      <c r="DH33" s="498"/>
      <c r="DI33" s="498"/>
      <c r="DJ33" s="498"/>
      <c r="DK33" s="498"/>
      <c r="DL33" s="498"/>
      <c r="DM33" s="498"/>
      <c r="DN33" s="498"/>
      <c r="DO33" s="498"/>
      <c r="DP33" s="498"/>
      <c r="DQ33" s="498"/>
      <c r="DR33" s="498"/>
      <c r="DS33" s="498"/>
      <c r="DT33" s="498"/>
      <c r="DU33" s="498"/>
      <c r="DV33" s="498"/>
      <c r="DW33" s="498"/>
      <c r="DX33" s="498"/>
      <c r="DY33" s="539"/>
    </row>
    <row r="34" spans="1:130" ht="25.05" customHeight="1" x14ac:dyDescent="0.4">
      <c r="A34" s="573"/>
      <c r="B34" s="574"/>
      <c r="C34" s="574"/>
      <c r="D34" s="574"/>
      <c r="E34" s="546"/>
      <c r="F34" s="546"/>
      <c r="G34" s="546"/>
      <c r="H34" s="546"/>
      <c r="I34" s="546"/>
      <c r="J34" s="546"/>
      <c r="K34" s="546"/>
      <c r="L34" s="546"/>
      <c r="M34" s="546"/>
      <c r="N34" s="546"/>
      <c r="O34" s="546"/>
      <c r="P34" s="546"/>
      <c r="Q34" s="546"/>
      <c r="R34" s="577"/>
      <c r="S34" s="577"/>
      <c r="T34" s="577"/>
      <c r="U34" s="577"/>
      <c r="V34" s="577"/>
      <c r="W34" s="577"/>
      <c r="X34" s="577"/>
      <c r="Y34" s="577"/>
      <c r="Z34" s="577"/>
      <c r="AA34" s="500"/>
      <c r="AB34" s="500"/>
      <c r="AC34" s="500"/>
      <c r="AD34" s="500"/>
      <c r="AE34" s="500"/>
      <c r="AF34" s="500"/>
      <c r="AG34" s="500"/>
      <c r="AH34" s="500"/>
      <c r="AI34" s="500"/>
      <c r="AJ34" s="546"/>
      <c r="AK34" s="546"/>
      <c r="AL34" s="546"/>
      <c r="AM34" s="546"/>
      <c r="AN34" s="546"/>
      <c r="AO34" s="546"/>
      <c r="AP34" s="546"/>
      <c r="AQ34" s="546"/>
      <c r="AR34" s="546"/>
      <c r="AS34" s="546"/>
      <c r="AT34" s="577"/>
      <c r="AU34" s="577"/>
      <c r="AV34" s="577"/>
      <c r="AW34" s="577"/>
      <c r="AX34" s="577"/>
      <c r="AY34" s="577"/>
      <c r="AZ34" s="577"/>
      <c r="BA34" s="577"/>
      <c r="BB34" s="577"/>
      <c r="BC34" s="577"/>
      <c r="BD34" s="546"/>
      <c r="BE34" s="546"/>
      <c r="BF34" s="546"/>
      <c r="BG34" s="546"/>
      <c r="BH34" s="546"/>
      <c r="BI34" s="546"/>
      <c r="BJ34" s="546"/>
      <c r="BK34" s="546"/>
      <c r="BL34" s="546"/>
      <c r="BM34" s="546"/>
      <c r="BN34" s="546"/>
      <c r="BO34" s="546"/>
      <c r="BP34" s="546"/>
      <c r="BQ34" s="546"/>
      <c r="BR34" s="546"/>
      <c r="BS34" s="546"/>
      <c r="BT34" s="546"/>
      <c r="BU34" s="546"/>
      <c r="BV34" s="546"/>
      <c r="BW34" s="546"/>
      <c r="BX34" s="546"/>
      <c r="BY34" s="546"/>
      <c r="BZ34" s="546"/>
      <c r="CA34" s="546"/>
      <c r="CB34" s="546"/>
      <c r="CC34" s="546"/>
      <c r="CD34" s="546"/>
      <c r="CE34" s="546"/>
      <c r="CF34" s="546"/>
      <c r="CG34" s="546"/>
      <c r="CH34" s="546"/>
      <c r="CI34" s="546"/>
      <c r="CJ34" s="546"/>
      <c r="CK34" s="546"/>
      <c r="CL34" s="546"/>
      <c r="CM34" s="546"/>
      <c r="CN34" s="546"/>
      <c r="CO34" s="546"/>
      <c r="CP34" s="546"/>
      <c r="CQ34" s="546"/>
      <c r="CR34" s="577"/>
      <c r="CS34" s="577"/>
      <c r="CT34" s="577"/>
      <c r="CU34" s="577"/>
      <c r="CV34" s="577"/>
      <c r="CW34" s="577"/>
      <c r="CX34" s="577"/>
      <c r="CY34" s="577"/>
      <c r="CZ34" s="577"/>
      <c r="DA34" s="577"/>
      <c r="DB34" s="577"/>
      <c r="DC34" s="577"/>
      <c r="DD34" s="500"/>
      <c r="DE34" s="500"/>
      <c r="DF34" s="500"/>
      <c r="DG34" s="500"/>
      <c r="DH34" s="500"/>
      <c r="DI34" s="500"/>
      <c r="DJ34" s="500"/>
      <c r="DK34" s="500"/>
      <c r="DL34" s="500"/>
      <c r="DM34" s="500"/>
      <c r="DN34" s="500"/>
      <c r="DO34" s="500"/>
      <c r="DP34" s="500"/>
      <c r="DQ34" s="500"/>
      <c r="DR34" s="500"/>
      <c r="DS34" s="500"/>
      <c r="DT34" s="500"/>
      <c r="DU34" s="500"/>
      <c r="DV34" s="500"/>
      <c r="DW34" s="500"/>
      <c r="DX34" s="500"/>
      <c r="DY34" s="540"/>
    </row>
    <row r="35" spans="1:130" ht="25.05" customHeight="1" x14ac:dyDescent="0.4">
      <c r="A35" s="578">
        <v>1</v>
      </c>
      <c r="B35" s="579"/>
      <c r="C35" s="579"/>
      <c r="D35" s="579"/>
      <c r="E35" s="580"/>
      <c r="F35" s="580"/>
      <c r="G35" s="580"/>
      <c r="H35" s="580"/>
      <c r="I35" s="580"/>
      <c r="J35" s="580"/>
      <c r="K35" s="580"/>
      <c r="L35" s="580"/>
      <c r="M35" s="580"/>
      <c r="N35" s="580"/>
      <c r="O35" s="580"/>
      <c r="P35" s="580"/>
      <c r="Q35" s="580"/>
      <c r="R35" s="581"/>
      <c r="S35" s="581"/>
      <c r="T35" s="581"/>
      <c r="U35" s="581"/>
      <c r="V35" s="581"/>
      <c r="W35" s="581"/>
      <c r="X35" s="581"/>
      <c r="Y35" s="581"/>
      <c r="Z35" s="581"/>
      <c r="AA35" s="580"/>
      <c r="AB35" s="580"/>
      <c r="AC35" s="580"/>
      <c r="AD35" s="580"/>
      <c r="AE35" s="580"/>
      <c r="AF35" s="580"/>
      <c r="AG35" s="580"/>
      <c r="AH35" s="580"/>
      <c r="AI35" s="580"/>
      <c r="AJ35" s="580"/>
      <c r="AK35" s="580"/>
      <c r="AL35" s="580"/>
      <c r="AM35" s="580"/>
      <c r="AN35" s="580"/>
      <c r="AO35" s="580"/>
      <c r="AP35" s="580"/>
      <c r="AQ35" s="580"/>
      <c r="AR35" s="580"/>
      <c r="AS35" s="580"/>
      <c r="AT35" s="580"/>
      <c r="AU35" s="580"/>
      <c r="AV35" s="580"/>
      <c r="AW35" s="580"/>
      <c r="AX35" s="580"/>
      <c r="AY35" s="580"/>
      <c r="AZ35" s="580"/>
      <c r="BA35" s="580"/>
      <c r="BB35" s="580"/>
      <c r="BC35" s="580"/>
      <c r="BD35" s="583"/>
      <c r="BE35" s="583"/>
      <c r="BF35" s="583"/>
      <c r="BG35" s="583"/>
      <c r="BH35" s="583"/>
      <c r="BI35" s="583"/>
      <c r="BJ35" s="583"/>
      <c r="BK35" s="583"/>
      <c r="BL35" s="583"/>
      <c r="BM35" s="583"/>
      <c r="BN35" s="583"/>
      <c r="BO35" s="583"/>
      <c r="BP35" s="583"/>
      <c r="BQ35" s="583"/>
      <c r="BR35" s="583"/>
      <c r="BS35" s="583"/>
      <c r="BT35" s="583"/>
      <c r="BU35" s="583"/>
      <c r="BV35" s="583"/>
      <c r="BW35" s="583"/>
      <c r="BX35" s="584"/>
      <c r="BY35" s="584"/>
      <c r="BZ35" s="584"/>
      <c r="CA35" s="584"/>
      <c r="CB35" s="584"/>
      <c r="CC35" s="584"/>
      <c r="CD35" s="584"/>
      <c r="CE35" s="584"/>
      <c r="CF35" s="584"/>
      <c r="CG35" s="584"/>
      <c r="CH35" s="584"/>
      <c r="CI35" s="584"/>
      <c r="CJ35" s="584"/>
      <c r="CK35" s="584"/>
      <c r="CL35" s="584"/>
      <c r="CM35" s="584"/>
      <c r="CN35" s="584"/>
      <c r="CO35" s="584"/>
      <c r="CP35" s="584"/>
      <c r="CQ35" s="584"/>
      <c r="CR35" s="580"/>
      <c r="CS35" s="580"/>
      <c r="CT35" s="580"/>
      <c r="CU35" s="580"/>
      <c r="CV35" s="580"/>
      <c r="CW35" s="580"/>
      <c r="CX35" s="580"/>
      <c r="CY35" s="580"/>
      <c r="CZ35" s="580"/>
      <c r="DA35" s="580"/>
      <c r="DB35" s="580"/>
      <c r="DC35" s="580"/>
      <c r="DD35" s="514"/>
      <c r="DE35" s="514"/>
      <c r="DF35" s="514"/>
      <c r="DG35" s="514"/>
      <c r="DH35" s="514"/>
      <c r="DI35" s="514"/>
      <c r="DJ35" s="514"/>
      <c r="DK35" s="514"/>
      <c r="DL35" s="514"/>
      <c r="DM35" s="514"/>
      <c r="DN35" s="514"/>
      <c r="DO35" s="514"/>
      <c r="DP35" s="514"/>
      <c r="DQ35" s="514"/>
      <c r="DR35" s="514"/>
      <c r="DS35" s="514"/>
      <c r="DT35" s="514"/>
      <c r="DU35" s="514"/>
      <c r="DV35" s="514"/>
      <c r="DW35" s="514"/>
      <c r="DX35" s="514"/>
      <c r="DY35" s="582"/>
    </row>
    <row r="36" spans="1:130" ht="25.05" customHeight="1" x14ac:dyDescent="0.4">
      <c r="A36" s="578">
        <v>2</v>
      </c>
      <c r="B36" s="579"/>
      <c r="C36" s="579"/>
      <c r="D36" s="579"/>
      <c r="E36" s="580"/>
      <c r="F36" s="580"/>
      <c r="G36" s="580"/>
      <c r="H36" s="580"/>
      <c r="I36" s="580"/>
      <c r="J36" s="580"/>
      <c r="K36" s="580"/>
      <c r="L36" s="580"/>
      <c r="M36" s="580"/>
      <c r="N36" s="580"/>
      <c r="O36" s="580"/>
      <c r="P36" s="580"/>
      <c r="Q36" s="580"/>
      <c r="R36" s="581"/>
      <c r="S36" s="581"/>
      <c r="T36" s="581"/>
      <c r="U36" s="581"/>
      <c r="V36" s="581"/>
      <c r="W36" s="581"/>
      <c r="X36" s="581"/>
      <c r="Y36" s="581"/>
      <c r="Z36" s="581"/>
      <c r="AA36" s="580"/>
      <c r="AB36" s="580"/>
      <c r="AC36" s="580"/>
      <c r="AD36" s="580"/>
      <c r="AE36" s="580"/>
      <c r="AF36" s="580"/>
      <c r="AG36" s="580"/>
      <c r="AH36" s="580"/>
      <c r="AI36" s="580"/>
      <c r="AJ36" s="580"/>
      <c r="AK36" s="580"/>
      <c r="AL36" s="580"/>
      <c r="AM36" s="580"/>
      <c r="AN36" s="580"/>
      <c r="AO36" s="580"/>
      <c r="AP36" s="580"/>
      <c r="AQ36" s="580"/>
      <c r="AR36" s="580"/>
      <c r="AS36" s="580"/>
      <c r="AT36" s="580"/>
      <c r="AU36" s="580"/>
      <c r="AV36" s="580"/>
      <c r="AW36" s="580"/>
      <c r="AX36" s="580"/>
      <c r="AY36" s="580"/>
      <c r="AZ36" s="580"/>
      <c r="BA36" s="580"/>
      <c r="BB36" s="580"/>
      <c r="BC36" s="580"/>
      <c r="BD36" s="583"/>
      <c r="BE36" s="583"/>
      <c r="BF36" s="583"/>
      <c r="BG36" s="583"/>
      <c r="BH36" s="583"/>
      <c r="BI36" s="583"/>
      <c r="BJ36" s="583"/>
      <c r="BK36" s="583"/>
      <c r="BL36" s="583"/>
      <c r="BM36" s="583"/>
      <c r="BN36" s="583"/>
      <c r="BO36" s="583"/>
      <c r="BP36" s="583"/>
      <c r="BQ36" s="583"/>
      <c r="BR36" s="583"/>
      <c r="BS36" s="583"/>
      <c r="BT36" s="583"/>
      <c r="BU36" s="583"/>
      <c r="BV36" s="583"/>
      <c r="BW36" s="583"/>
      <c r="BX36" s="584"/>
      <c r="BY36" s="584"/>
      <c r="BZ36" s="584"/>
      <c r="CA36" s="584"/>
      <c r="CB36" s="584"/>
      <c r="CC36" s="584"/>
      <c r="CD36" s="584"/>
      <c r="CE36" s="584"/>
      <c r="CF36" s="584"/>
      <c r="CG36" s="584"/>
      <c r="CH36" s="584"/>
      <c r="CI36" s="584"/>
      <c r="CJ36" s="584"/>
      <c r="CK36" s="584"/>
      <c r="CL36" s="584"/>
      <c r="CM36" s="584"/>
      <c r="CN36" s="584"/>
      <c r="CO36" s="584"/>
      <c r="CP36" s="584"/>
      <c r="CQ36" s="584"/>
      <c r="CR36" s="580"/>
      <c r="CS36" s="580"/>
      <c r="CT36" s="580"/>
      <c r="CU36" s="580"/>
      <c r="CV36" s="580"/>
      <c r="CW36" s="580"/>
      <c r="CX36" s="580"/>
      <c r="CY36" s="580"/>
      <c r="CZ36" s="580"/>
      <c r="DA36" s="580"/>
      <c r="DB36" s="580"/>
      <c r="DC36" s="580"/>
      <c r="DD36" s="580"/>
      <c r="DE36" s="580"/>
      <c r="DF36" s="580"/>
      <c r="DG36" s="580"/>
      <c r="DH36" s="580"/>
      <c r="DI36" s="580"/>
      <c r="DJ36" s="580"/>
      <c r="DK36" s="580"/>
      <c r="DL36" s="580"/>
      <c r="DM36" s="580"/>
      <c r="DN36" s="580"/>
      <c r="DO36" s="580"/>
      <c r="DP36" s="580"/>
      <c r="DQ36" s="580"/>
      <c r="DR36" s="580"/>
      <c r="DS36" s="580"/>
      <c r="DT36" s="580"/>
      <c r="DU36" s="580"/>
      <c r="DV36" s="580"/>
      <c r="DW36" s="580"/>
      <c r="DX36" s="580"/>
      <c r="DY36" s="585"/>
    </row>
    <row r="37" spans="1:130" ht="25.05" customHeight="1" x14ac:dyDescent="0.4">
      <c r="A37" s="578">
        <v>3</v>
      </c>
      <c r="B37" s="579"/>
      <c r="C37" s="579"/>
      <c r="D37" s="579"/>
      <c r="E37" s="580"/>
      <c r="F37" s="580"/>
      <c r="G37" s="580"/>
      <c r="H37" s="580"/>
      <c r="I37" s="580"/>
      <c r="J37" s="580"/>
      <c r="K37" s="580"/>
      <c r="L37" s="580"/>
      <c r="M37" s="580"/>
      <c r="N37" s="580"/>
      <c r="O37" s="580"/>
      <c r="P37" s="580"/>
      <c r="Q37" s="580"/>
      <c r="R37" s="581"/>
      <c r="S37" s="581"/>
      <c r="T37" s="581"/>
      <c r="U37" s="581"/>
      <c r="V37" s="581"/>
      <c r="W37" s="581"/>
      <c r="X37" s="581"/>
      <c r="Y37" s="581"/>
      <c r="Z37" s="581"/>
      <c r="AA37" s="580"/>
      <c r="AB37" s="580"/>
      <c r="AC37" s="580"/>
      <c r="AD37" s="580"/>
      <c r="AE37" s="580"/>
      <c r="AF37" s="580"/>
      <c r="AG37" s="580"/>
      <c r="AH37" s="580"/>
      <c r="AI37" s="580"/>
      <c r="AJ37" s="580"/>
      <c r="AK37" s="580"/>
      <c r="AL37" s="580"/>
      <c r="AM37" s="580"/>
      <c r="AN37" s="580"/>
      <c r="AO37" s="580"/>
      <c r="AP37" s="580"/>
      <c r="AQ37" s="580"/>
      <c r="AR37" s="580"/>
      <c r="AS37" s="580"/>
      <c r="AT37" s="580"/>
      <c r="AU37" s="580"/>
      <c r="AV37" s="580"/>
      <c r="AW37" s="580"/>
      <c r="AX37" s="580"/>
      <c r="AY37" s="580"/>
      <c r="AZ37" s="580"/>
      <c r="BA37" s="580"/>
      <c r="BB37" s="580"/>
      <c r="BC37" s="580"/>
      <c r="BD37" s="583"/>
      <c r="BE37" s="583"/>
      <c r="BF37" s="583"/>
      <c r="BG37" s="583"/>
      <c r="BH37" s="583"/>
      <c r="BI37" s="583"/>
      <c r="BJ37" s="583"/>
      <c r="BK37" s="583"/>
      <c r="BL37" s="583"/>
      <c r="BM37" s="583"/>
      <c r="BN37" s="583"/>
      <c r="BO37" s="583"/>
      <c r="BP37" s="583"/>
      <c r="BQ37" s="583"/>
      <c r="BR37" s="583"/>
      <c r="BS37" s="583"/>
      <c r="BT37" s="583"/>
      <c r="BU37" s="583"/>
      <c r="BV37" s="583"/>
      <c r="BW37" s="583"/>
      <c r="BX37" s="584"/>
      <c r="BY37" s="584"/>
      <c r="BZ37" s="584"/>
      <c r="CA37" s="584"/>
      <c r="CB37" s="584"/>
      <c r="CC37" s="584"/>
      <c r="CD37" s="584"/>
      <c r="CE37" s="584"/>
      <c r="CF37" s="584"/>
      <c r="CG37" s="584"/>
      <c r="CH37" s="584"/>
      <c r="CI37" s="584"/>
      <c r="CJ37" s="584"/>
      <c r="CK37" s="584"/>
      <c r="CL37" s="584"/>
      <c r="CM37" s="584"/>
      <c r="CN37" s="584"/>
      <c r="CO37" s="584"/>
      <c r="CP37" s="584"/>
      <c r="CQ37" s="584"/>
      <c r="CR37" s="580"/>
      <c r="CS37" s="580"/>
      <c r="CT37" s="580"/>
      <c r="CU37" s="580"/>
      <c r="CV37" s="580"/>
      <c r="CW37" s="580"/>
      <c r="CX37" s="580"/>
      <c r="CY37" s="580"/>
      <c r="CZ37" s="580"/>
      <c r="DA37" s="580"/>
      <c r="DB37" s="580"/>
      <c r="DC37" s="580"/>
      <c r="DD37" s="514"/>
      <c r="DE37" s="514"/>
      <c r="DF37" s="514"/>
      <c r="DG37" s="514"/>
      <c r="DH37" s="514"/>
      <c r="DI37" s="514"/>
      <c r="DJ37" s="514"/>
      <c r="DK37" s="514"/>
      <c r="DL37" s="514"/>
      <c r="DM37" s="514"/>
      <c r="DN37" s="514"/>
      <c r="DO37" s="514"/>
      <c r="DP37" s="514"/>
      <c r="DQ37" s="514"/>
      <c r="DR37" s="514"/>
      <c r="DS37" s="514"/>
      <c r="DT37" s="514"/>
      <c r="DU37" s="514"/>
      <c r="DV37" s="514"/>
      <c r="DW37" s="514"/>
      <c r="DX37" s="514"/>
      <c r="DY37" s="582"/>
    </row>
    <row r="38" spans="1:130" ht="25.05" customHeight="1" x14ac:dyDescent="0.4">
      <c r="A38" s="578">
        <v>4</v>
      </c>
      <c r="B38" s="579"/>
      <c r="C38" s="579"/>
      <c r="D38" s="579"/>
      <c r="E38" s="580"/>
      <c r="F38" s="580"/>
      <c r="G38" s="580"/>
      <c r="H38" s="580"/>
      <c r="I38" s="580"/>
      <c r="J38" s="580"/>
      <c r="K38" s="580"/>
      <c r="L38" s="580"/>
      <c r="M38" s="580"/>
      <c r="N38" s="580"/>
      <c r="O38" s="580"/>
      <c r="P38" s="580"/>
      <c r="Q38" s="580"/>
      <c r="R38" s="581"/>
      <c r="S38" s="581"/>
      <c r="T38" s="581"/>
      <c r="U38" s="581"/>
      <c r="V38" s="581"/>
      <c r="W38" s="581"/>
      <c r="X38" s="581"/>
      <c r="Y38" s="581"/>
      <c r="Z38" s="581"/>
      <c r="AA38" s="580"/>
      <c r="AB38" s="580"/>
      <c r="AC38" s="580"/>
      <c r="AD38" s="580"/>
      <c r="AE38" s="580"/>
      <c r="AF38" s="580"/>
      <c r="AG38" s="580"/>
      <c r="AH38" s="580"/>
      <c r="AI38" s="580"/>
      <c r="AJ38" s="580"/>
      <c r="AK38" s="580"/>
      <c r="AL38" s="580"/>
      <c r="AM38" s="580"/>
      <c r="AN38" s="580"/>
      <c r="AO38" s="580"/>
      <c r="AP38" s="580"/>
      <c r="AQ38" s="580"/>
      <c r="AR38" s="580"/>
      <c r="AS38" s="580"/>
      <c r="AT38" s="580"/>
      <c r="AU38" s="580"/>
      <c r="AV38" s="580"/>
      <c r="AW38" s="580"/>
      <c r="AX38" s="580"/>
      <c r="AY38" s="580"/>
      <c r="AZ38" s="580"/>
      <c r="BA38" s="580"/>
      <c r="BB38" s="580"/>
      <c r="BC38" s="580"/>
      <c r="BD38" s="583"/>
      <c r="BE38" s="583"/>
      <c r="BF38" s="583"/>
      <c r="BG38" s="583"/>
      <c r="BH38" s="583"/>
      <c r="BI38" s="583"/>
      <c r="BJ38" s="583"/>
      <c r="BK38" s="583"/>
      <c r="BL38" s="583"/>
      <c r="BM38" s="583"/>
      <c r="BN38" s="583"/>
      <c r="BO38" s="583"/>
      <c r="BP38" s="583"/>
      <c r="BQ38" s="583"/>
      <c r="BR38" s="583"/>
      <c r="BS38" s="583"/>
      <c r="BT38" s="583"/>
      <c r="BU38" s="583"/>
      <c r="BV38" s="583"/>
      <c r="BW38" s="583"/>
      <c r="BX38" s="584"/>
      <c r="BY38" s="584"/>
      <c r="BZ38" s="584"/>
      <c r="CA38" s="584"/>
      <c r="CB38" s="584"/>
      <c r="CC38" s="584"/>
      <c r="CD38" s="584"/>
      <c r="CE38" s="584"/>
      <c r="CF38" s="584"/>
      <c r="CG38" s="584"/>
      <c r="CH38" s="584"/>
      <c r="CI38" s="584"/>
      <c r="CJ38" s="584"/>
      <c r="CK38" s="584"/>
      <c r="CL38" s="584"/>
      <c r="CM38" s="584"/>
      <c r="CN38" s="584"/>
      <c r="CO38" s="584"/>
      <c r="CP38" s="584"/>
      <c r="CQ38" s="584"/>
      <c r="CR38" s="580"/>
      <c r="CS38" s="580"/>
      <c r="CT38" s="580"/>
      <c r="CU38" s="580"/>
      <c r="CV38" s="580"/>
      <c r="CW38" s="580"/>
      <c r="CX38" s="580"/>
      <c r="CY38" s="580"/>
      <c r="CZ38" s="580"/>
      <c r="DA38" s="580"/>
      <c r="DB38" s="580"/>
      <c r="DC38" s="580"/>
      <c r="DD38" s="514"/>
      <c r="DE38" s="514"/>
      <c r="DF38" s="514"/>
      <c r="DG38" s="514"/>
      <c r="DH38" s="514"/>
      <c r="DI38" s="514"/>
      <c r="DJ38" s="514"/>
      <c r="DK38" s="514"/>
      <c r="DL38" s="514"/>
      <c r="DM38" s="514"/>
      <c r="DN38" s="514"/>
      <c r="DO38" s="514"/>
      <c r="DP38" s="514"/>
      <c r="DQ38" s="514"/>
      <c r="DR38" s="514"/>
      <c r="DS38" s="514"/>
      <c r="DT38" s="514"/>
      <c r="DU38" s="514"/>
      <c r="DV38" s="514"/>
      <c r="DW38" s="514"/>
      <c r="DX38" s="514"/>
      <c r="DY38" s="582"/>
    </row>
    <row r="39" spans="1:130" ht="25.05" customHeight="1" x14ac:dyDescent="0.4">
      <c r="A39" s="578">
        <v>5</v>
      </c>
      <c r="B39" s="579"/>
      <c r="C39" s="579"/>
      <c r="D39" s="579"/>
      <c r="E39" s="580"/>
      <c r="F39" s="580"/>
      <c r="G39" s="580"/>
      <c r="H39" s="580"/>
      <c r="I39" s="580"/>
      <c r="J39" s="580"/>
      <c r="K39" s="580"/>
      <c r="L39" s="580"/>
      <c r="M39" s="580"/>
      <c r="N39" s="580"/>
      <c r="O39" s="580"/>
      <c r="P39" s="580"/>
      <c r="Q39" s="580"/>
      <c r="R39" s="581"/>
      <c r="S39" s="581"/>
      <c r="T39" s="581"/>
      <c r="U39" s="581"/>
      <c r="V39" s="581"/>
      <c r="W39" s="581"/>
      <c r="X39" s="581"/>
      <c r="Y39" s="581"/>
      <c r="Z39" s="581"/>
      <c r="AA39" s="580"/>
      <c r="AB39" s="580"/>
      <c r="AC39" s="580"/>
      <c r="AD39" s="580"/>
      <c r="AE39" s="580"/>
      <c r="AF39" s="580"/>
      <c r="AG39" s="580"/>
      <c r="AH39" s="580"/>
      <c r="AI39" s="580"/>
      <c r="AJ39" s="580"/>
      <c r="AK39" s="580"/>
      <c r="AL39" s="580"/>
      <c r="AM39" s="580"/>
      <c r="AN39" s="580"/>
      <c r="AO39" s="580"/>
      <c r="AP39" s="580"/>
      <c r="AQ39" s="580"/>
      <c r="AR39" s="580"/>
      <c r="AS39" s="580"/>
      <c r="AT39" s="580"/>
      <c r="AU39" s="580"/>
      <c r="AV39" s="580"/>
      <c r="AW39" s="580"/>
      <c r="AX39" s="580"/>
      <c r="AY39" s="580"/>
      <c r="AZ39" s="580"/>
      <c r="BA39" s="580"/>
      <c r="BB39" s="580"/>
      <c r="BC39" s="580"/>
      <c r="BD39" s="583"/>
      <c r="BE39" s="583"/>
      <c r="BF39" s="583"/>
      <c r="BG39" s="583"/>
      <c r="BH39" s="583"/>
      <c r="BI39" s="583"/>
      <c r="BJ39" s="583"/>
      <c r="BK39" s="583"/>
      <c r="BL39" s="583"/>
      <c r="BM39" s="583"/>
      <c r="BN39" s="583"/>
      <c r="BO39" s="583"/>
      <c r="BP39" s="583"/>
      <c r="BQ39" s="583"/>
      <c r="BR39" s="583"/>
      <c r="BS39" s="583"/>
      <c r="BT39" s="583"/>
      <c r="BU39" s="583"/>
      <c r="BV39" s="583"/>
      <c r="BW39" s="583"/>
      <c r="BX39" s="584"/>
      <c r="BY39" s="584"/>
      <c r="BZ39" s="584"/>
      <c r="CA39" s="584"/>
      <c r="CB39" s="584"/>
      <c r="CC39" s="584"/>
      <c r="CD39" s="584"/>
      <c r="CE39" s="584"/>
      <c r="CF39" s="584"/>
      <c r="CG39" s="584"/>
      <c r="CH39" s="584"/>
      <c r="CI39" s="584"/>
      <c r="CJ39" s="584"/>
      <c r="CK39" s="584"/>
      <c r="CL39" s="584"/>
      <c r="CM39" s="584"/>
      <c r="CN39" s="584"/>
      <c r="CO39" s="584"/>
      <c r="CP39" s="584"/>
      <c r="CQ39" s="584"/>
      <c r="CR39" s="580"/>
      <c r="CS39" s="580"/>
      <c r="CT39" s="580"/>
      <c r="CU39" s="580"/>
      <c r="CV39" s="580"/>
      <c r="CW39" s="580"/>
      <c r="CX39" s="580"/>
      <c r="CY39" s="580"/>
      <c r="CZ39" s="580"/>
      <c r="DA39" s="580"/>
      <c r="DB39" s="580"/>
      <c r="DC39" s="580"/>
      <c r="DD39" s="514"/>
      <c r="DE39" s="514"/>
      <c r="DF39" s="514"/>
      <c r="DG39" s="514"/>
      <c r="DH39" s="514"/>
      <c r="DI39" s="514"/>
      <c r="DJ39" s="514"/>
      <c r="DK39" s="514"/>
      <c r="DL39" s="514"/>
      <c r="DM39" s="514"/>
      <c r="DN39" s="514"/>
      <c r="DO39" s="514"/>
      <c r="DP39" s="514"/>
      <c r="DQ39" s="514"/>
      <c r="DR39" s="514"/>
      <c r="DS39" s="514"/>
      <c r="DT39" s="514"/>
      <c r="DU39" s="514"/>
      <c r="DV39" s="514"/>
      <c r="DW39" s="514"/>
      <c r="DX39" s="514"/>
      <c r="DY39" s="582"/>
    </row>
    <row r="40" spans="1:130" ht="25.05" customHeight="1" x14ac:dyDescent="0.4">
      <c r="A40" s="578">
        <v>6</v>
      </c>
      <c r="B40" s="579"/>
      <c r="C40" s="579"/>
      <c r="D40" s="579"/>
      <c r="E40" s="580"/>
      <c r="F40" s="580"/>
      <c r="G40" s="580"/>
      <c r="H40" s="580"/>
      <c r="I40" s="580"/>
      <c r="J40" s="580"/>
      <c r="K40" s="580"/>
      <c r="L40" s="580"/>
      <c r="M40" s="580"/>
      <c r="N40" s="580"/>
      <c r="O40" s="580"/>
      <c r="P40" s="580"/>
      <c r="Q40" s="580"/>
      <c r="R40" s="581"/>
      <c r="S40" s="581"/>
      <c r="T40" s="581"/>
      <c r="U40" s="581"/>
      <c r="V40" s="581"/>
      <c r="W40" s="581"/>
      <c r="X40" s="581"/>
      <c r="Y40" s="581"/>
      <c r="Z40" s="581"/>
      <c r="AA40" s="580"/>
      <c r="AB40" s="580"/>
      <c r="AC40" s="580"/>
      <c r="AD40" s="580"/>
      <c r="AE40" s="580"/>
      <c r="AF40" s="580"/>
      <c r="AG40" s="580"/>
      <c r="AH40" s="580"/>
      <c r="AI40" s="580"/>
      <c r="AJ40" s="580"/>
      <c r="AK40" s="580"/>
      <c r="AL40" s="580"/>
      <c r="AM40" s="580"/>
      <c r="AN40" s="580"/>
      <c r="AO40" s="580"/>
      <c r="AP40" s="580"/>
      <c r="AQ40" s="580"/>
      <c r="AR40" s="580"/>
      <c r="AS40" s="580"/>
      <c r="AT40" s="580"/>
      <c r="AU40" s="580"/>
      <c r="AV40" s="580"/>
      <c r="AW40" s="580"/>
      <c r="AX40" s="580"/>
      <c r="AY40" s="580"/>
      <c r="AZ40" s="580"/>
      <c r="BA40" s="580"/>
      <c r="BB40" s="580"/>
      <c r="BC40" s="580"/>
      <c r="BD40" s="583"/>
      <c r="BE40" s="583"/>
      <c r="BF40" s="583"/>
      <c r="BG40" s="583"/>
      <c r="BH40" s="583"/>
      <c r="BI40" s="583"/>
      <c r="BJ40" s="583"/>
      <c r="BK40" s="583"/>
      <c r="BL40" s="583"/>
      <c r="BM40" s="583"/>
      <c r="BN40" s="583"/>
      <c r="BO40" s="583"/>
      <c r="BP40" s="583"/>
      <c r="BQ40" s="583"/>
      <c r="BR40" s="583"/>
      <c r="BS40" s="583"/>
      <c r="BT40" s="583"/>
      <c r="BU40" s="583"/>
      <c r="BV40" s="583"/>
      <c r="BW40" s="583"/>
      <c r="BX40" s="584"/>
      <c r="BY40" s="584"/>
      <c r="BZ40" s="584"/>
      <c r="CA40" s="584"/>
      <c r="CB40" s="584"/>
      <c r="CC40" s="584"/>
      <c r="CD40" s="584"/>
      <c r="CE40" s="584"/>
      <c r="CF40" s="584"/>
      <c r="CG40" s="584"/>
      <c r="CH40" s="584"/>
      <c r="CI40" s="584"/>
      <c r="CJ40" s="584"/>
      <c r="CK40" s="584"/>
      <c r="CL40" s="584"/>
      <c r="CM40" s="584"/>
      <c r="CN40" s="584"/>
      <c r="CO40" s="584"/>
      <c r="CP40" s="584"/>
      <c r="CQ40" s="584"/>
      <c r="CR40" s="580"/>
      <c r="CS40" s="580"/>
      <c r="CT40" s="580"/>
      <c r="CU40" s="580"/>
      <c r="CV40" s="580"/>
      <c r="CW40" s="580"/>
      <c r="CX40" s="580"/>
      <c r="CY40" s="580"/>
      <c r="CZ40" s="580"/>
      <c r="DA40" s="580"/>
      <c r="DB40" s="580"/>
      <c r="DC40" s="580"/>
      <c r="DD40" s="514"/>
      <c r="DE40" s="514"/>
      <c r="DF40" s="514"/>
      <c r="DG40" s="514"/>
      <c r="DH40" s="514"/>
      <c r="DI40" s="514"/>
      <c r="DJ40" s="514"/>
      <c r="DK40" s="514"/>
      <c r="DL40" s="514"/>
      <c r="DM40" s="514"/>
      <c r="DN40" s="514"/>
      <c r="DO40" s="514"/>
      <c r="DP40" s="514"/>
      <c r="DQ40" s="514"/>
      <c r="DR40" s="514"/>
      <c r="DS40" s="514"/>
      <c r="DT40" s="514"/>
      <c r="DU40" s="514"/>
      <c r="DV40" s="514"/>
      <c r="DW40" s="514"/>
      <c r="DX40" s="514"/>
      <c r="DY40" s="582"/>
    </row>
    <row r="41" spans="1:130" ht="25.05" customHeight="1" x14ac:dyDescent="0.4">
      <c r="A41" s="578">
        <v>7</v>
      </c>
      <c r="B41" s="579"/>
      <c r="C41" s="579"/>
      <c r="D41" s="579"/>
      <c r="E41" s="580"/>
      <c r="F41" s="580"/>
      <c r="G41" s="580"/>
      <c r="H41" s="580"/>
      <c r="I41" s="580"/>
      <c r="J41" s="580"/>
      <c r="K41" s="580"/>
      <c r="L41" s="580"/>
      <c r="M41" s="580"/>
      <c r="N41" s="580"/>
      <c r="O41" s="580"/>
      <c r="P41" s="580"/>
      <c r="Q41" s="580"/>
      <c r="R41" s="581"/>
      <c r="S41" s="581"/>
      <c r="T41" s="581"/>
      <c r="U41" s="581"/>
      <c r="V41" s="581"/>
      <c r="W41" s="581"/>
      <c r="X41" s="581"/>
      <c r="Y41" s="581"/>
      <c r="Z41" s="581"/>
      <c r="AA41" s="580"/>
      <c r="AB41" s="580"/>
      <c r="AC41" s="580"/>
      <c r="AD41" s="580"/>
      <c r="AE41" s="580"/>
      <c r="AF41" s="580"/>
      <c r="AG41" s="580"/>
      <c r="AH41" s="580"/>
      <c r="AI41" s="580"/>
      <c r="AJ41" s="580"/>
      <c r="AK41" s="580"/>
      <c r="AL41" s="580"/>
      <c r="AM41" s="580"/>
      <c r="AN41" s="580"/>
      <c r="AO41" s="580"/>
      <c r="AP41" s="580"/>
      <c r="AQ41" s="580"/>
      <c r="AR41" s="580"/>
      <c r="AS41" s="580"/>
      <c r="AT41" s="580"/>
      <c r="AU41" s="580"/>
      <c r="AV41" s="580"/>
      <c r="AW41" s="580"/>
      <c r="AX41" s="580"/>
      <c r="AY41" s="580"/>
      <c r="AZ41" s="580"/>
      <c r="BA41" s="580"/>
      <c r="BB41" s="580"/>
      <c r="BC41" s="580"/>
      <c r="BD41" s="583"/>
      <c r="BE41" s="583"/>
      <c r="BF41" s="583"/>
      <c r="BG41" s="583"/>
      <c r="BH41" s="583"/>
      <c r="BI41" s="583"/>
      <c r="BJ41" s="583"/>
      <c r="BK41" s="583"/>
      <c r="BL41" s="583"/>
      <c r="BM41" s="583"/>
      <c r="BN41" s="583"/>
      <c r="BO41" s="583"/>
      <c r="BP41" s="583"/>
      <c r="BQ41" s="583"/>
      <c r="BR41" s="583"/>
      <c r="BS41" s="583"/>
      <c r="BT41" s="583"/>
      <c r="BU41" s="583"/>
      <c r="BV41" s="583"/>
      <c r="BW41" s="583"/>
      <c r="BX41" s="584"/>
      <c r="BY41" s="584"/>
      <c r="BZ41" s="584"/>
      <c r="CA41" s="584"/>
      <c r="CB41" s="584"/>
      <c r="CC41" s="584"/>
      <c r="CD41" s="584"/>
      <c r="CE41" s="584"/>
      <c r="CF41" s="584"/>
      <c r="CG41" s="584"/>
      <c r="CH41" s="584"/>
      <c r="CI41" s="584"/>
      <c r="CJ41" s="584"/>
      <c r="CK41" s="584"/>
      <c r="CL41" s="584"/>
      <c r="CM41" s="584"/>
      <c r="CN41" s="584"/>
      <c r="CO41" s="584"/>
      <c r="CP41" s="584"/>
      <c r="CQ41" s="584"/>
      <c r="CR41" s="580"/>
      <c r="CS41" s="580"/>
      <c r="CT41" s="580"/>
      <c r="CU41" s="580"/>
      <c r="CV41" s="580"/>
      <c r="CW41" s="580"/>
      <c r="CX41" s="580"/>
      <c r="CY41" s="580"/>
      <c r="CZ41" s="580"/>
      <c r="DA41" s="580"/>
      <c r="DB41" s="580"/>
      <c r="DC41" s="580"/>
      <c r="DD41" s="514"/>
      <c r="DE41" s="514"/>
      <c r="DF41" s="514"/>
      <c r="DG41" s="514"/>
      <c r="DH41" s="514"/>
      <c r="DI41" s="514"/>
      <c r="DJ41" s="514"/>
      <c r="DK41" s="514"/>
      <c r="DL41" s="514"/>
      <c r="DM41" s="514"/>
      <c r="DN41" s="514"/>
      <c r="DO41" s="514"/>
      <c r="DP41" s="514"/>
      <c r="DQ41" s="514"/>
      <c r="DR41" s="514"/>
      <c r="DS41" s="514"/>
      <c r="DT41" s="514"/>
      <c r="DU41" s="514"/>
      <c r="DV41" s="514"/>
      <c r="DW41" s="514"/>
      <c r="DX41" s="514"/>
      <c r="DY41" s="582"/>
    </row>
    <row r="42" spans="1:130" ht="25.05" customHeight="1" x14ac:dyDescent="0.4">
      <c r="A42" s="578">
        <v>8</v>
      </c>
      <c r="B42" s="579"/>
      <c r="C42" s="579"/>
      <c r="D42" s="579"/>
      <c r="E42" s="580"/>
      <c r="F42" s="580"/>
      <c r="G42" s="580"/>
      <c r="H42" s="580"/>
      <c r="I42" s="580"/>
      <c r="J42" s="580"/>
      <c r="K42" s="580"/>
      <c r="L42" s="580"/>
      <c r="M42" s="580"/>
      <c r="N42" s="580"/>
      <c r="O42" s="580"/>
      <c r="P42" s="580"/>
      <c r="Q42" s="580"/>
      <c r="R42" s="581"/>
      <c r="S42" s="581"/>
      <c r="T42" s="581"/>
      <c r="U42" s="581"/>
      <c r="V42" s="581"/>
      <c r="W42" s="581"/>
      <c r="X42" s="581"/>
      <c r="Y42" s="581"/>
      <c r="Z42" s="581"/>
      <c r="AA42" s="580"/>
      <c r="AB42" s="580"/>
      <c r="AC42" s="580"/>
      <c r="AD42" s="580"/>
      <c r="AE42" s="580"/>
      <c r="AF42" s="580"/>
      <c r="AG42" s="580"/>
      <c r="AH42" s="580"/>
      <c r="AI42" s="580"/>
      <c r="AJ42" s="580"/>
      <c r="AK42" s="580"/>
      <c r="AL42" s="580"/>
      <c r="AM42" s="580"/>
      <c r="AN42" s="580"/>
      <c r="AO42" s="580"/>
      <c r="AP42" s="580"/>
      <c r="AQ42" s="580"/>
      <c r="AR42" s="580"/>
      <c r="AS42" s="580"/>
      <c r="AT42" s="580"/>
      <c r="AU42" s="580"/>
      <c r="AV42" s="580"/>
      <c r="AW42" s="580"/>
      <c r="AX42" s="580"/>
      <c r="AY42" s="580"/>
      <c r="AZ42" s="580"/>
      <c r="BA42" s="580"/>
      <c r="BB42" s="580"/>
      <c r="BC42" s="580"/>
      <c r="BD42" s="586"/>
      <c r="BE42" s="586"/>
      <c r="BF42" s="586"/>
      <c r="BG42" s="586"/>
      <c r="BH42" s="586"/>
      <c r="BI42" s="586"/>
      <c r="BJ42" s="586"/>
      <c r="BK42" s="586"/>
      <c r="BL42" s="586"/>
      <c r="BM42" s="586"/>
      <c r="BN42" s="583"/>
      <c r="BO42" s="583"/>
      <c r="BP42" s="583"/>
      <c r="BQ42" s="583"/>
      <c r="BR42" s="583"/>
      <c r="BS42" s="583"/>
      <c r="BT42" s="583"/>
      <c r="BU42" s="583"/>
      <c r="BV42" s="583"/>
      <c r="BW42" s="583"/>
      <c r="BX42" s="584"/>
      <c r="BY42" s="584"/>
      <c r="BZ42" s="584"/>
      <c r="CA42" s="584"/>
      <c r="CB42" s="584"/>
      <c r="CC42" s="584"/>
      <c r="CD42" s="584"/>
      <c r="CE42" s="584"/>
      <c r="CF42" s="584"/>
      <c r="CG42" s="584"/>
      <c r="CH42" s="584"/>
      <c r="CI42" s="584"/>
      <c r="CJ42" s="584"/>
      <c r="CK42" s="584"/>
      <c r="CL42" s="584"/>
      <c r="CM42" s="584"/>
      <c r="CN42" s="584"/>
      <c r="CO42" s="584"/>
      <c r="CP42" s="584"/>
      <c r="CQ42" s="584"/>
      <c r="CR42" s="580"/>
      <c r="CS42" s="580"/>
      <c r="CT42" s="580"/>
      <c r="CU42" s="580"/>
      <c r="CV42" s="580"/>
      <c r="CW42" s="580"/>
      <c r="CX42" s="580"/>
      <c r="CY42" s="580"/>
      <c r="CZ42" s="580"/>
      <c r="DA42" s="580"/>
      <c r="DB42" s="580"/>
      <c r="DC42" s="580"/>
      <c r="DD42" s="580"/>
      <c r="DE42" s="580"/>
      <c r="DF42" s="580"/>
      <c r="DG42" s="580"/>
      <c r="DH42" s="580"/>
      <c r="DI42" s="580"/>
      <c r="DJ42" s="580"/>
      <c r="DK42" s="580"/>
      <c r="DL42" s="580"/>
      <c r="DM42" s="580"/>
      <c r="DN42" s="580"/>
      <c r="DO42" s="580"/>
      <c r="DP42" s="580"/>
      <c r="DQ42" s="580"/>
      <c r="DR42" s="580"/>
      <c r="DS42" s="580"/>
      <c r="DT42" s="580"/>
      <c r="DU42" s="580"/>
      <c r="DV42" s="580"/>
      <c r="DW42" s="580"/>
      <c r="DX42" s="580"/>
      <c r="DY42" s="585"/>
    </row>
    <row r="43" spans="1:130" ht="25.05" customHeight="1" x14ac:dyDescent="0.4">
      <c r="A43" s="578">
        <v>9</v>
      </c>
      <c r="B43" s="579"/>
      <c r="C43" s="579"/>
      <c r="D43" s="579"/>
      <c r="E43" s="580"/>
      <c r="F43" s="580"/>
      <c r="G43" s="580"/>
      <c r="H43" s="580"/>
      <c r="I43" s="580"/>
      <c r="J43" s="580"/>
      <c r="K43" s="580"/>
      <c r="L43" s="580"/>
      <c r="M43" s="580"/>
      <c r="N43" s="580"/>
      <c r="O43" s="580"/>
      <c r="P43" s="580"/>
      <c r="Q43" s="580"/>
      <c r="R43" s="581"/>
      <c r="S43" s="581"/>
      <c r="T43" s="581"/>
      <c r="U43" s="581"/>
      <c r="V43" s="581"/>
      <c r="W43" s="581"/>
      <c r="X43" s="581"/>
      <c r="Y43" s="581"/>
      <c r="Z43" s="581"/>
      <c r="AA43" s="580"/>
      <c r="AB43" s="580"/>
      <c r="AC43" s="580"/>
      <c r="AD43" s="580"/>
      <c r="AE43" s="580"/>
      <c r="AF43" s="580"/>
      <c r="AG43" s="580"/>
      <c r="AH43" s="580"/>
      <c r="AI43" s="580"/>
      <c r="AJ43" s="580"/>
      <c r="AK43" s="580"/>
      <c r="AL43" s="580"/>
      <c r="AM43" s="580"/>
      <c r="AN43" s="580"/>
      <c r="AO43" s="580"/>
      <c r="AP43" s="580"/>
      <c r="AQ43" s="580"/>
      <c r="AR43" s="580"/>
      <c r="AS43" s="580"/>
      <c r="AT43" s="580"/>
      <c r="AU43" s="580"/>
      <c r="AV43" s="580"/>
      <c r="AW43" s="580"/>
      <c r="AX43" s="580"/>
      <c r="AY43" s="580"/>
      <c r="AZ43" s="580"/>
      <c r="BA43" s="580"/>
      <c r="BB43" s="580"/>
      <c r="BC43" s="580"/>
      <c r="BD43" s="583"/>
      <c r="BE43" s="583"/>
      <c r="BF43" s="583"/>
      <c r="BG43" s="583"/>
      <c r="BH43" s="583"/>
      <c r="BI43" s="583"/>
      <c r="BJ43" s="583"/>
      <c r="BK43" s="583"/>
      <c r="BL43" s="583"/>
      <c r="BM43" s="583"/>
      <c r="BN43" s="583"/>
      <c r="BO43" s="583"/>
      <c r="BP43" s="583"/>
      <c r="BQ43" s="583"/>
      <c r="BR43" s="583"/>
      <c r="BS43" s="583"/>
      <c r="BT43" s="583"/>
      <c r="BU43" s="583"/>
      <c r="BV43" s="583"/>
      <c r="BW43" s="583"/>
      <c r="BX43" s="584"/>
      <c r="BY43" s="584"/>
      <c r="BZ43" s="584"/>
      <c r="CA43" s="584"/>
      <c r="CB43" s="584"/>
      <c r="CC43" s="584"/>
      <c r="CD43" s="584"/>
      <c r="CE43" s="584"/>
      <c r="CF43" s="584"/>
      <c r="CG43" s="584"/>
      <c r="CH43" s="584"/>
      <c r="CI43" s="584"/>
      <c r="CJ43" s="584"/>
      <c r="CK43" s="584"/>
      <c r="CL43" s="584"/>
      <c r="CM43" s="584"/>
      <c r="CN43" s="584"/>
      <c r="CO43" s="584"/>
      <c r="CP43" s="584"/>
      <c r="CQ43" s="584"/>
      <c r="CR43" s="580"/>
      <c r="CS43" s="580"/>
      <c r="CT43" s="580"/>
      <c r="CU43" s="580"/>
      <c r="CV43" s="580"/>
      <c r="CW43" s="580"/>
      <c r="CX43" s="580"/>
      <c r="CY43" s="580"/>
      <c r="CZ43" s="580"/>
      <c r="DA43" s="580"/>
      <c r="DB43" s="580"/>
      <c r="DC43" s="580"/>
      <c r="DD43" s="580"/>
      <c r="DE43" s="580"/>
      <c r="DF43" s="580"/>
      <c r="DG43" s="580"/>
      <c r="DH43" s="580"/>
      <c r="DI43" s="580"/>
      <c r="DJ43" s="580"/>
      <c r="DK43" s="580"/>
      <c r="DL43" s="580"/>
      <c r="DM43" s="580"/>
      <c r="DN43" s="580"/>
      <c r="DO43" s="580"/>
      <c r="DP43" s="580"/>
      <c r="DQ43" s="580"/>
      <c r="DR43" s="580"/>
      <c r="DS43" s="580"/>
      <c r="DT43" s="580"/>
      <c r="DU43" s="580"/>
      <c r="DV43" s="580"/>
      <c r="DW43" s="580"/>
      <c r="DX43" s="580"/>
      <c r="DY43" s="585"/>
    </row>
    <row r="44" spans="1:130" ht="25.05" customHeight="1" x14ac:dyDescent="0.4">
      <c r="A44" s="578">
        <v>10</v>
      </c>
      <c r="B44" s="579"/>
      <c r="C44" s="579"/>
      <c r="D44" s="579"/>
      <c r="E44" s="580"/>
      <c r="F44" s="580"/>
      <c r="G44" s="580"/>
      <c r="H44" s="580"/>
      <c r="I44" s="580"/>
      <c r="J44" s="580"/>
      <c r="K44" s="580"/>
      <c r="L44" s="580"/>
      <c r="M44" s="580"/>
      <c r="N44" s="580"/>
      <c r="O44" s="580"/>
      <c r="P44" s="580"/>
      <c r="Q44" s="580"/>
      <c r="R44" s="581"/>
      <c r="S44" s="581"/>
      <c r="T44" s="581"/>
      <c r="U44" s="581"/>
      <c r="V44" s="581"/>
      <c r="W44" s="581"/>
      <c r="X44" s="581"/>
      <c r="Y44" s="581"/>
      <c r="Z44" s="581"/>
      <c r="AA44" s="580"/>
      <c r="AB44" s="580"/>
      <c r="AC44" s="580"/>
      <c r="AD44" s="580"/>
      <c r="AE44" s="580"/>
      <c r="AF44" s="580"/>
      <c r="AG44" s="580"/>
      <c r="AH44" s="580"/>
      <c r="AI44" s="580"/>
      <c r="AJ44" s="580"/>
      <c r="AK44" s="580"/>
      <c r="AL44" s="580"/>
      <c r="AM44" s="580"/>
      <c r="AN44" s="580"/>
      <c r="AO44" s="580"/>
      <c r="AP44" s="580"/>
      <c r="AQ44" s="580"/>
      <c r="AR44" s="580"/>
      <c r="AS44" s="580"/>
      <c r="AT44" s="580"/>
      <c r="AU44" s="580"/>
      <c r="AV44" s="580"/>
      <c r="AW44" s="580"/>
      <c r="AX44" s="580"/>
      <c r="AY44" s="580"/>
      <c r="AZ44" s="580"/>
      <c r="BA44" s="580"/>
      <c r="BB44" s="580"/>
      <c r="BC44" s="580"/>
      <c r="BD44" s="583"/>
      <c r="BE44" s="583"/>
      <c r="BF44" s="583"/>
      <c r="BG44" s="583"/>
      <c r="BH44" s="583"/>
      <c r="BI44" s="583"/>
      <c r="BJ44" s="583"/>
      <c r="BK44" s="583"/>
      <c r="BL44" s="583"/>
      <c r="BM44" s="583"/>
      <c r="BN44" s="583"/>
      <c r="BO44" s="583"/>
      <c r="BP44" s="583"/>
      <c r="BQ44" s="583"/>
      <c r="BR44" s="583"/>
      <c r="BS44" s="583"/>
      <c r="BT44" s="583"/>
      <c r="BU44" s="583"/>
      <c r="BV44" s="583"/>
      <c r="BW44" s="583"/>
      <c r="BX44" s="584"/>
      <c r="BY44" s="584"/>
      <c r="BZ44" s="584"/>
      <c r="CA44" s="584"/>
      <c r="CB44" s="584"/>
      <c r="CC44" s="584"/>
      <c r="CD44" s="584"/>
      <c r="CE44" s="584"/>
      <c r="CF44" s="584"/>
      <c r="CG44" s="584"/>
      <c r="CH44" s="584"/>
      <c r="CI44" s="584"/>
      <c r="CJ44" s="584"/>
      <c r="CK44" s="584"/>
      <c r="CL44" s="584"/>
      <c r="CM44" s="584"/>
      <c r="CN44" s="584"/>
      <c r="CO44" s="584"/>
      <c r="CP44" s="584"/>
      <c r="CQ44" s="584"/>
      <c r="CR44" s="580"/>
      <c r="CS44" s="580"/>
      <c r="CT44" s="580"/>
      <c r="CU44" s="580"/>
      <c r="CV44" s="580"/>
      <c r="CW44" s="580"/>
      <c r="CX44" s="580"/>
      <c r="CY44" s="580"/>
      <c r="CZ44" s="580"/>
      <c r="DA44" s="580"/>
      <c r="DB44" s="580"/>
      <c r="DC44" s="580"/>
      <c r="DD44" s="580"/>
      <c r="DE44" s="580"/>
      <c r="DF44" s="580"/>
      <c r="DG44" s="580"/>
      <c r="DH44" s="580"/>
      <c r="DI44" s="580"/>
      <c r="DJ44" s="580"/>
      <c r="DK44" s="580"/>
      <c r="DL44" s="580"/>
      <c r="DM44" s="580"/>
      <c r="DN44" s="580"/>
      <c r="DO44" s="580"/>
      <c r="DP44" s="580"/>
      <c r="DQ44" s="580"/>
      <c r="DR44" s="580"/>
      <c r="DS44" s="580"/>
      <c r="DT44" s="580"/>
      <c r="DU44" s="580"/>
      <c r="DV44" s="580"/>
      <c r="DW44" s="580"/>
      <c r="DX44" s="580"/>
      <c r="DY44" s="585"/>
    </row>
    <row r="45" spans="1:130" ht="25.05" customHeight="1" x14ac:dyDescent="0.4">
      <c r="A45" s="578">
        <v>11</v>
      </c>
      <c r="B45" s="579"/>
      <c r="C45" s="579"/>
      <c r="D45" s="579"/>
      <c r="E45" s="580"/>
      <c r="F45" s="580"/>
      <c r="G45" s="580"/>
      <c r="H45" s="580"/>
      <c r="I45" s="580"/>
      <c r="J45" s="580"/>
      <c r="K45" s="580"/>
      <c r="L45" s="580"/>
      <c r="M45" s="580"/>
      <c r="N45" s="580"/>
      <c r="O45" s="580"/>
      <c r="P45" s="580"/>
      <c r="Q45" s="580"/>
      <c r="R45" s="581"/>
      <c r="S45" s="581"/>
      <c r="T45" s="581"/>
      <c r="U45" s="581"/>
      <c r="V45" s="581"/>
      <c r="W45" s="581"/>
      <c r="X45" s="581"/>
      <c r="Y45" s="581"/>
      <c r="Z45" s="581"/>
      <c r="AA45" s="580"/>
      <c r="AB45" s="580"/>
      <c r="AC45" s="580"/>
      <c r="AD45" s="580"/>
      <c r="AE45" s="580"/>
      <c r="AF45" s="580"/>
      <c r="AG45" s="580"/>
      <c r="AH45" s="580"/>
      <c r="AI45" s="580"/>
      <c r="AJ45" s="580"/>
      <c r="AK45" s="580"/>
      <c r="AL45" s="580"/>
      <c r="AM45" s="580"/>
      <c r="AN45" s="580"/>
      <c r="AO45" s="580"/>
      <c r="AP45" s="580"/>
      <c r="AQ45" s="580"/>
      <c r="AR45" s="580"/>
      <c r="AS45" s="580"/>
      <c r="AT45" s="580"/>
      <c r="AU45" s="580"/>
      <c r="AV45" s="580"/>
      <c r="AW45" s="580"/>
      <c r="AX45" s="580"/>
      <c r="AY45" s="580"/>
      <c r="AZ45" s="580"/>
      <c r="BA45" s="580"/>
      <c r="BB45" s="580"/>
      <c r="BC45" s="580"/>
      <c r="BD45" s="583"/>
      <c r="BE45" s="583"/>
      <c r="BF45" s="583"/>
      <c r="BG45" s="583"/>
      <c r="BH45" s="583"/>
      <c r="BI45" s="583"/>
      <c r="BJ45" s="583"/>
      <c r="BK45" s="583"/>
      <c r="BL45" s="583"/>
      <c r="BM45" s="583"/>
      <c r="BN45" s="583"/>
      <c r="BO45" s="583"/>
      <c r="BP45" s="583"/>
      <c r="BQ45" s="583"/>
      <c r="BR45" s="583"/>
      <c r="BS45" s="583"/>
      <c r="BT45" s="583"/>
      <c r="BU45" s="583"/>
      <c r="BV45" s="583"/>
      <c r="BW45" s="583"/>
      <c r="BX45" s="584"/>
      <c r="BY45" s="584"/>
      <c r="BZ45" s="584"/>
      <c r="CA45" s="584"/>
      <c r="CB45" s="584"/>
      <c r="CC45" s="584"/>
      <c r="CD45" s="584"/>
      <c r="CE45" s="584"/>
      <c r="CF45" s="584"/>
      <c r="CG45" s="584"/>
      <c r="CH45" s="584"/>
      <c r="CI45" s="584"/>
      <c r="CJ45" s="584"/>
      <c r="CK45" s="584"/>
      <c r="CL45" s="584"/>
      <c r="CM45" s="584"/>
      <c r="CN45" s="584"/>
      <c r="CO45" s="584"/>
      <c r="CP45" s="584"/>
      <c r="CQ45" s="584"/>
      <c r="CR45" s="580"/>
      <c r="CS45" s="580"/>
      <c r="CT45" s="580"/>
      <c r="CU45" s="580"/>
      <c r="CV45" s="580"/>
      <c r="CW45" s="580"/>
      <c r="CX45" s="580"/>
      <c r="CY45" s="580"/>
      <c r="CZ45" s="580"/>
      <c r="DA45" s="580"/>
      <c r="DB45" s="580"/>
      <c r="DC45" s="580"/>
      <c r="DD45" s="580"/>
      <c r="DE45" s="580"/>
      <c r="DF45" s="580"/>
      <c r="DG45" s="580"/>
      <c r="DH45" s="580"/>
      <c r="DI45" s="580"/>
      <c r="DJ45" s="580"/>
      <c r="DK45" s="580"/>
      <c r="DL45" s="580"/>
      <c r="DM45" s="580"/>
      <c r="DN45" s="580"/>
      <c r="DO45" s="580"/>
      <c r="DP45" s="580"/>
      <c r="DQ45" s="580"/>
      <c r="DR45" s="580"/>
      <c r="DS45" s="580"/>
      <c r="DT45" s="580"/>
      <c r="DU45" s="580"/>
      <c r="DV45" s="580"/>
      <c r="DW45" s="580"/>
      <c r="DX45" s="580"/>
      <c r="DY45" s="585"/>
    </row>
    <row r="46" spans="1:130" ht="25.05" customHeight="1" x14ac:dyDescent="0.4">
      <c r="A46" s="578">
        <v>12</v>
      </c>
      <c r="B46" s="579"/>
      <c r="C46" s="579"/>
      <c r="D46" s="579"/>
      <c r="E46" s="580"/>
      <c r="F46" s="580"/>
      <c r="G46" s="580"/>
      <c r="H46" s="580"/>
      <c r="I46" s="580"/>
      <c r="J46" s="580"/>
      <c r="K46" s="580"/>
      <c r="L46" s="580"/>
      <c r="M46" s="580"/>
      <c r="N46" s="580"/>
      <c r="O46" s="580"/>
      <c r="P46" s="580"/>
      <c r="Q46" s="580"/>
      <c r="R46" s="581"/>
      <c r="S46" s="581"/>
      <c r="T46" s="581"/>
      <c r="U46" s="581"/>
      <c r="V46" s="581"/>
      <c r="W46" s="581"/>
      <c r="X46" s="581"/>
      <c r="Y46" s="581"/>
      <c r="Z46" s="581"/>
      <c r="AA46" s="580"/>
      <c r="AB46" s="580"/>
      <c r="AC46" s="580"/>
      <c r="AD46" s="580"/>
      <c r="AE46" s="580"/>
      <c r="AF46" s="580"/>
      <c r="AG46" s="580"/>
      <c r="AH46" s="580"/>
      <c r="AI46" s="580"/>
      <c r="AJ46" s="580"/>
      <c r="AK46" s="580"/>
      <c r="AL46" s="580"/>
      <c r="AM46" s="580"/>
      <c r="AN46" s="580"/>
      <c r="AO46" s="580"/>
      <c r="AP46" s="580"/>
      <c r="AQ46" s="580"/>
      <c r="AR46" s="580"/>
      <c r="AS46" s="580"/>
      <c r="AT46" s="580"/>
      <c r="AU46" s="580"/>
      <c r="AV46" s="580"/>
      <c r="AW46" s="580"/>
      <c r="AX46" s="580"/>
      <c r="AY46" s="580"/>
      <c r="AZ46" s="580"/>
      <c r="BA46" s="580"/>
      <c r="BB46" s="580"/>
      <c r="BC46" s="580"/>
      <c r="BD46" s="583"/>
      <c r="BE46" s="583"/>
      <c r="BF46" s="583"/>
      <c r="BG46" s="583"/>
      <c r="BH46" s="583"/>
      <c r="BI46" s="583"/>
      <c r="BJ46" s="583"/>
      <c r="BK46" s="583"/>
      <c r="BL46" s="583"/>
      <c r="BM46" s="583"/>
      <c r="BN46" s="583"/>
      <c r="BO46" s="583"/>
      <c r="BP46" s="583"/>
      <c r="BQ46" s="583"/>
      <c r="BR46" s="583"/>
      <c r="BS46" s="583"/>
      <c r="BT46" s="583"/>
      <c r="BU46" s="583"/>
      <c r="BV46" s="583"/>
      <c r="BW46" s="583"/>
      <c r="BX46" s="584"/>
      <c r="BY46" s="584"/>
      <c r="BZ46" s="584"/>
      <c r="CA46" s="584"/>
      <c r="CB46" s="584"/>
      <c r="CC46" s="584"/>
      <c r="CD46" s="584"/>
      <c r="CE46" s="584"/>
      <c r="CF46" s="584"/>
      <c r="CG46" s="584"/>
      <c r="CH46" s="584"/>
      <c r="CI46" s="584"/>
      <c r="CJ46" s="584"/>
      <c r="CK46" s="584"/>
      <c r="CL46" s="584"/>
      <c r="CM46" s="584"/>
      <c r="CN46" s="584"/>
      <c r="CO46" s="584"/>
      <c r="CP46" s="584"/>
      <c r="CQ46" s="584"/>
      <c r="CR46" s="580"/>
      <c r="CS46" s="580"/>
      <c r="CT46" s="580"/>
      <c r="CU46" s="580"/>
      <c r="CV46" s="580"/>
      <c r="CW46" s="580"/>
      <c r="CX46" s="580"/>
      <c r="CY46" s="580"/>
      <c r="CZ46" s="580"/>
      <c r="DA46" s="580"/>
      <c r="DB46" s="580"/>
      <c r="DC46" s="580"/>
      <c r="DD46" s="580"/>
      <c r="DE46" s="580"/>
      <c r="DF46" s="580"/>
      <c r="DG46" s="580"/>
      <c r="DH46" s="580"/>
      <c r="DI46" s="580"/>
      <c r="DJ46" s="580"/>
      <c r="DK46" s="580"/>
      <c r="DL46" s="580"/>
      <c r="DM46" s="580"/>
      <c r="DN46" s="580"/>
      <c r="DO46" s="580"/>
      <c r="DP46" s="580"/>
      <c r="DQ46" s="580"/>
      <c r="DR46" s="580"/>
      <c r="DS46" s="580"/>
      <c r="DT46" s="580"/>
      <c r="DU46" s="580"/>
      <c r="DV46" s="580"/>
      <c r="DW46" s="580"/>
      <c r="DX46" s="580"/>
      <c r="DY46" s="585"/>
    </row>
    <row r="47" spans="1:130" ht="25.05" customHeight="1" x14ac:dyDescent="0.4">
      <c r="A47" s="578">
        <v>13</v>
      </c>
      <c r="B47" s="579"/>
      <c r="C47" s="579"/>
      <c r="D47" s="579"/>
      <c r="E47" s="580"/>
      <c r="F47" s="580"/>
      <c r="G47" s="580"/>
      <c r="H47" s="580"/>
      <c r="I47" s="580"/>
      <c r="J47" s="580"/>
      <c r="K47" s="580"/>
      <c r="L47" s="580"/>
      <c r="M47" s="580"/>
      <c r="N47" s="580"/>
      <c r="O47" s="580"/>
      <c r="P47" s="580"/>
      <c r="Q47" s="580"/>
      <c r="R47" s="581"/>
      <c r="S47" s="581"/>
      <c r="T47" s="581"/>
      <c r="U47" s="581"/>
      <c r="V47" s="581"/>
      <c r="W47" s="581"/>
      <c r="X47" s="581"/>
      <c r="Y47" s="581"/>
      <c r="Z47" s="581"/>
      <c r="AA47" s="580"/>
      <c r="AB47" s="580"/>
      <c r="AC47" s="580"/>
      <c r="AD47" s="580"/>
      <c r="AE47" s="580"/>
      <c r="AF47" s="580"/>
      <c r="AG47" s="580"/>
      <c r="AH47" s="580"/>
      <c r="AI47" s="580"/>
      <c r="AJ47" s="580"/>
      <c r="AK47" s="580"/>
      <c r="AL47" s="580"/>
      <c r="AM47" s="580"/>
      <c r="AN47" s="580"/>
      <c r="AO47" s="580"/>
      <c r="AP47" s="580"/>
      <c r="AQ47" s="580"/>
      <c r="AR47" s="580"/>
      <c r="AS47" s="580"/>
      <c r="AT47" s="580"/>
      <c r="AU47" s="580"/>
      <c r="AV47" s="580"/>
      <c r="AW47" s="580"/>
      <c r="AX47" s="580"/>
      <c r="AY47" s="580"/>
      <c r="AZ47" s="580"/>
      <c r="BA47" s="580"/>
      <c r="BB47" s="580"/>
      <c r="BC47" s="580"/>
      <c r="BD47" s="583"/>
      <c r="BE47" s="583"/>
      <c r="BF47" s="583"/>
      <c r="BG47" s="583"/>
      <c r="BH47" s="583"/>
      <c r="BI47" s="583"/>
      <c r="BJ47" s="583"/>
      <c r="BK47" s="583"/>
      <c r="BL47" s="583"/>
      <c r="BM47" s="583"/>
      <c r="BN47" s="583"/>
      <c r="BO47" s="583"/>
      <c r="BP47" s="583"/>
      <c r="BQ47" s="583"/>
      <c r="BR47" s="583"/>
      <c r="BS47" s="583"/>
      <c r="BT47" s="583"/>
      <c r="BU47" s="583"/>
      <c r="BV47" s="583"/>
      <c r="BW47" s="583"/>
      <c r="BX47" s="584"/>
      <c r="BY47" s="584"/>
      <c r="BZ47" s="584"/>
      <c r="CA47" s="584"/>
      <c r="CB47" s="584"/>
      <c r="CC47" s="584"/>
      <c r="CD47" s="584"/>
      <c r="CE47" s="584"/>
      <c r="CF47" s="584"/>
      <c r="CG47" s="584"/>
      <c r="CH47" s="584"/>
      <c r="CI47" s="584"/>
      <c r="CJ47" s="584"/>
      <c r="CK47" s="584"/>
      <c r="CL47" s="584"/>
      <c r="CM47" s="584"/>
      <c r="CN47" s="584"/>
      <c r="CO47" s="584"/>
      <c r="CP47" s="584"/>
      <c r="CQ47" s="584"/>
      <c r="CR47" s="580"/>
      <c r="CS47" s="580"/>
      <c r="CT47" s="580"/>
      <c r="CU47" s="580"/>
      <c r="CV47" s="580"/>
      <c r="CW47" s="580"/>
      <c r="CX47" s="580"/>
      <c r="CY47" s="580"/>
      <c r="CZ47" s="580"/>
      <c r="DA47" s="580"/>
      <c r="DB47" s="580"/>
      <c r="DC47" s="580"/>
      <c r="DD47" s="580"/>
      <c r="DE47" s="580"/>
      <c r="DF47" s="580"/>
      <c r="DG47" s="580"/>
      <c r="DH47" s="580"/>
      <c r="DI47" s="580"/>
      <c r="DJ47" s="580"/>
      <c r="DK47" s="580"/>
      <c r="DL47" s="580"/>
      <c r="DM47" s="580"/>
      <c r="DN47" s="580"/>
      <c r="DO47" s="580"/>
      <c r="DP47" s="580"/>
      <c r="DQ47" s="580"/>
      <c r="DR47" s="580"/>
      <c r="DS47" s="580"/>
      <c r="DT47" s="580"/>
      <c r="DU47" s="580"/>
      <c r="DV47" s="580"/>
      <c r="DW47" s="580"/>
      <c r="DX47" s="580"/>
      <c r="DY47" s="585"/>
    </row>
    <row r="48" spans="1:130" s="328" customFormat="1" ht="25.05" customHeight="1" x14ac:dyDescent="0.4">
      <c r="A48" s="578">
        <v>14</v>
      </c>
      <c r="B48" s="579"/>
      <c r="C48" s="579"/>
      <c r="D48" s="579"/>
      <c r="E48" s="580"/>
      <c r="F48" s="580"/>
      <c r="G48" s="580"/>
      <c r="H48" s="580"/>
      <c r="I48" s="580"/>
      <c r="J48" s="580"/>
      <c r="K48" s="580"/>
      <c r="L48" s="580"/>
      <c r="M48" s="580"/>
      <c r="N48" s="580"/>
      <c r="O48" s="580"/>
      <c r="P48" s="580"/>
      <c r="Q48" s="580"/>
      <c r="R48" s="581"/>
      <c r="S48" s="581"/>
      <c r="T48" s="581"/>
      <c r="U48" s="581"/>
      <c r="V48" s="581"/>
      <c r="W48" s="581"/>
      <c r="X48" s="581"/>
      <c r="Y48" s="581"/>
      <c r="Z48" s="581"/>
      <c r="AA48" s="580"/>
      <c r="AB48" s="580"/>
      <c r="AC48" s="580"/>
      <c r="AD48" s="580"/>
      <c r="AE48" s="580"/>
      <c r="AF48" s="580"/>
      <c r="AG48" s="580"/>
      <c r="AH48" s="580"/>
      <c r="AI48" s="580"/>
      <c r="AJ48" s="580"/>
      <c r="AK48" s="580"/>
      <c r="AL48" s="580"/>
      <c r="AM48" s="580"/>
      <c r="AN48" s="580"/>
      <c r="AO48" s="580"/>
      <c r="AP48" s="580"/>
      <c r="AQ48" s="580"/>
      <c r="AR48" s="580"/>
      <c r="AS48" s="580"/>
      <c r="AT48" s="580"/>
      <c r="AU48" s="580"/>
      <c r="AV48" s="580"/>
      <c r="AW48" s="580"/>
      <c r="AX48" s="580"/>
      <c r="AY48" s="580"/>
      <c r="AZ48" s="580"/>
      <c r="BA48" s="580"/>
      <c r="BB48" s="580"/>
      <c r="BC48" s="580"/>
      <c r="BD48" s="583"/>
      <c r="BE48" s="583"/>
      <c r="BF48" s="583"/>
      <c r="BG48" s="583"/>
      <c r="BH48" s="583"/>
      <c r="BI48" s="583"/>
      <c r="BJ48" s="583"/>
      <c r="BK48" s="583"/>
      <c r="BL48" s="583"/>
      <c r="BM48" s="583"/>
      <c r="BN48" s="583"/>
      <c r="BO48" s="583"/>
      <c r="BP48" s="583"/>
      <c r="BQ48" s="583"/>
      <c r="BR48" s="583"/>
      <c r="BS48" s="583"/>
      <c r="BT48" s="583"/>
      <c r="BU48" s="583"/>
      <c r="BV48" s="583"/>
      <c r="BW48" s="583"/>
      <c r="BX48" s="584"/>
      <c r="BY48" s="584"/>
      <c r="BZ48" s="584"/>
      <c r="CA48" s="584"/>
      <c r="CB48" s="584"/>
      <c r="CC48" s="584"/>
      <c r="CD48" s="584"/>
      <c r="CE48" s="584"/>
      <c r="CF48" s="584"/>
      <c r="CG48" s="584"/>
      <c r="CH48" s="584"/>
      <c r="CI48" s="584"/>
      <c r="CJ48" s="584"/>
      <c r="CK48" s="584"/>
      <c r="CL48" s="584"/>
      <c r="CM48" s="584"/>
      <c r="CN48" s="584"/>
      <c r="CO48" s="584"/>
      <c r="CP48" s="584"/>
      <c r="CQ48" s="584"/>
      <c r="CR48" s="580"/>
      <c r="CS48" s="580"/>
      <c r="CT48" s="580"/>
      <c r="CU48" s="580"/>
      <c r="CV48" s="580"/>
      <c r="CW48" s="580"/>
      <c r="CX48" s="580"/>
      <c r="CY48" s="580"/>
      <c r="CZ48" s="580"/>
      <c r="DA48" s="580"/>
      <c r="DB48" s="580"/>
      <c r="DC48" s="580"/>
      <c r="DD48" s="580"/>
      <c r="DE48" s="580"/>
      <c r="DF48" s="580"/>
      <c r="DG48" s="580"/>
      <c r="DH48" s="580"/>
      <c r="DI48" s="580"/>
      <c r="DJ48" s="580"/>
      <c r="DK48" s="580"/>
      <c r="DL48" s="580"/>
      <c r="DM48" s="580"/>
      <c r="DN48" s="580"/>
      <c r="DO48" s="580"/>
      <c r="DP48" s="580"/>
      <c r="DQ48" s="580"/>
      <c r="DR48" s="580"/>
      <c r="DS48" s="580"/>
      <c r="DT48" s="580"/>
      <c r="DU48" s="580"/>
      <c r="DV48" s="580"/>
      <c r="DW48" s="580"/>
      <c r="DX48" s="580"/>
      <c r="DY48" s="585"/>
      <c r="DZ48" s="322"/>
    </row>
    <row r="49" spans="1:139" ht="25.05" hidden="1" customHeight="1" x14ac:dyDescent="0.4">
      <c r="A49" s="578">
        <v>15</v>
      </c>
      <c r="B49" s="579"/>
      <c r="C49" s="579"/>
      <c r="D49" s="579"/>
      <c r="E49" s="587"/>
      <c r="F49" s="587"/>
      <c r="G49" s="587"/>
      <c r="H49" s="587"/>
      <c r="I49" s="587"/>
      <c r="J49" s="587"/>
      <c r="K49" s="587"/>
      <c r="L49" s="587"/>
      <c r="M49" s="587"/>
      <c r="N49" s="587"/>
      <c r="O49" s="587"/>
      <c r="P49" s="587"/>
      <c r="Q49" s="587"/>
      <c r="R49" s="587"/>
      <c r="S49" s="587"/>
      <c r="T49" s="587"/>
      <c r="U49" s="587"/>
      <c r="V49" s="587"/>
      <c r="W49" s="587"/>
      <c r="X49" s="587"/>
      <c r="Y49" s="587"/>
      <c r="Z49" s="587"/>
      <c r="AA49" s="587"/>
      <c r="AB49" s="587"/>
      <c r="AC49" s="587"/>
      <c r="AD49" s="587"/>
      <c r="AE49" s="587"/>
      <c r="AF49" s="587"/>
      <c r="AG49" s="587"/>
      <c r="AH49" s="587"/>
      <c r="AI49" s="587"/>
      <c r="AJ49" s="587"/>
      <c r="AK49" s="587"/>
      <c r="AL49" s="587"/>
      <c r="AM49" s="587"/>
      <c r="AN49" s="587"/>
      <c r="AO49" s="587"/>
      <c r="AP49" s="587"/>
      <c r="AQ49" s="587"/>
      <c r="AR49" s="587"/>
      <c r="AS49" s="587"/>
      <c r="AT49" s="587"/>
      <c r="AU49" s="587"/>
      <c r="AV49" s="587"/>
      <c r="AW49" s="587"/>
      <c r="AX49" s="587"/>
      <c r="AY49" s="587"/>
      <c r="AZ49" s="587"/>
      <c r="BA49" s="587"/>
      <c r="BB49" s="587"/>
      <c r="BC49" s="587"/>
      <c r="BD49" s="588"/>
      <c r="BE49" s="588"/>
      <c r="BF49" s="588"/>
      <c r="BG49" s="588"/>
      <c r="BH49" s="588"/>
      <c r="BI49" s="588"/>
      <c r="BJ49" s="588"/>
      <c r="BK49" s="588"/>
      <c r="BL49" s="588"/>
      <c r="BM49" s="588"/>
      <c r="BN49" s="588"/>
      <c r="BO49" s="588"/>
      <c r="BP49" s="588"/>
      <c r="BQ49" s="588"/>
      <c r="BR49" s="588"/>
      <c r="BS49" s="588"/>
      <c r="BT49" s="588"/>
      <c r="BU49" s="588"/>
      <c r="BV49" s="588"/>
      <c r="BW49" s="588"/>
      <c r="BX49" s="338"/>
      <c r="BY49" s="338"/>
      <c r="BZ49" s="338"/>
      <c r="CA49" s="338"/>
      <c r="CB49" s="338"/>
      <c r="CC49" s="338"/>
      <c r="CD49" s="338"/>
      <c r="CE49" s="338"/>
      <c r="CF49" s="338"/>
      <c r="CG49" s="338"/>
      <c r="CH49" s="338"/>
      <c r="CI49" s="338"/>
      <c r="CJ49" s="338"/>
      <c r="CK49" s="339"/>
      <c r="CL49" s="339"/>
      <c r="CM49" s="339"/>
      <c r="CN49" s="339"/>
      <c r="CO49" s="339"/>
      <c r="CP49" s="339"/>
      <c r="CQ49" s="339"/>
      <c r="CR49" s="332"/>
      <c r="CS49" s="332"/>
      <c r="CT49" s="332"/>
      <c r="CU49" s="332"/>
      <c r="CV49" s="332"/>
      <c r="CW49" s="332"/>
      <c r="CX49" s="341"/>
      <c r="CY49" s="341"/>
      <c r="CZ49" s="341"/>
      <c r="DA49" s="341"/>
      <c r="DB49" s="341"/>
      <c r="DC49" s="341"/>
      <c r="DD49" s="341"/>
      <c r="DE49" s="341"/>
      <c r="DF49" s="341"/>
      <c r="DG49" s="341"/>
      <c r="DH49" s="341"/>
      <c r="DI49" s="341"/>
      <c r="DJ49" s="341"/>
      <c r="DK49" s="341"/>
      <c r="DL49" s="341"/>
      <c r="DM49" s="341"/>
      <c r="DN49" s="341"/>
      <c r="DO49" s="341"/>
      <c r="DP49" s="341"/>
      <c r="DQ49" s="341"/>
      <c r="DR49" s="341"/>
      <c r="DS49" s="341"/>
      <c r="DT49" s="341"/>
      <c r="DU49" s="341"/>
      <c r="DV49" s="341"/>
      <c r="DW49" s="341"/>
      <c r="DX49" s="341"/>
      <c r="DY49" s="342"/>
      <c r="EA49" s="589"/>
      <c r="EB49" s="589"/>
      <c r="EC49" s="589"/>
      <c r="ED49" s="589"/>
      <c r="EE49" s="589"/>
      <c r="EF49" s="589"/>
      <c r="EG49" s="589"/>
      <c r="EH49" s="589"/>
      <c r="EI49" s="589"/>
    </row>
    <row r="50" spans="1:139" ht="25.05" hidden="1" customHeight="1" thickBot="1" x14ac:dyDescent="0.45">
      <c r="A50" s="578">
        <v>16</v>
      </c>
      <c r="B50" s="579"/>
      <c r="C50" s="579"/>
      <c r="D50" s="579"/>
      <c r="E50" s="587"/>
      <c r="F50" s="587"/>
      <c r="G50" s="587"/>
      <c r="H50" s="587"/>
      <c r="I50" s="587"/>
      <c r="J50" s="587"/>
      <c r="K50" s="587"/>
      <c r="L50" s="587"/>
      <c r="M50" s="587"/>
      <c r="N50" s="587"/>
      <c r="O50" s="587"/>
      <c r="P50" s="587"/>
      <c r="Q50" s="587"/>
      <c r="R50" s="587"/>
      <c r="S50" s="587"/>
      <c r="T50" s="587"/>
      <c r="U50" s="587"/>
      <c r="V50" s="587"/>
      <c r="W50" s="587"/>
      <c r="X50" s="587"/>
      <c r="Y50" s="587"/>
      <c r="Z50" s="587"/>
      <c r="AA50" s="587"/>
      <c r="AB50" s="587"/>
      <c r="AC50" s="587"/>
      <c r="AD50" s="587"/>
      <c r="AE50" s="587"/>
      <c r="AF50" s="587"/>
      <c r="AG50" s="587"/>
      <c r="AH50" s="587"/>
      <c r="AI50" s="587"/>
      <c r="AJ50" s="587"/>
      <c r="AK50" s="587"/>
      <c r="AL50" s="587"/>
      <c r="AM50" s="587"/>
      <c r="AN50" s="587"/>
      <c r="AO50" s="587"/>
      <c r="AP50" s="587"/>
      <c r="AQ50" s="587"/>
      <c r="AR50" s="587"/>
      <c r="AS50" s="587"/>
      <c r="AT50" s="587"/>
      <c r="AU50" s="587"/>
      <c r="AV50" s="587"/>
      <c r="AW50" s="587"/>
      <c r="AX50" s="587"/>
      <c r="AY50" s="587"/>
      <c r="AZ50" s="587"/>
      <c r="BA50" s="587"/>
      <c r="BB50" s="587"/>
      <c r="BC50" s="587"/>
      <c r="BD50" s="588"/>
      <c r="BE50" s="588"/>
      <c r="BF50" s="588"/>
      <c r="BG50" s="588"/>
      <c r="BH50" s="588"/>
      <c r="BI50" s="588"/>
      <c r="BJ50" s="588"/>
      <c r="BK50" s="588"/>
      <c r="BL50" s="588"/>
      <c r="BM50" s="588"/>
      <c r="BN50" s="588"/>
      <c r="BO50" s="588"/>
      <c r="BP50" s="588"/>
      <c r="BQ50" s="588"/>
      <c r="BR50" s="588"/>
      <c r="BS50" s="588"/>
      <c r="BT50" s="588"/>
      <c r="BU50" s="588"/>
      <c r="BV50" s="588"/>
      <c r="BW50" s="588"/>
      <c r="BX50" s="338"/>
      <c r="BY50" s="338"/>
      <c r="BZ50" s="338"/>
      <c r="CA50" s="338"/>
      <c r="CB50" s="338"/>
      <c r="CC50" s="338"/>
      <c r="CD50" s="338"/>
      <c r="CE50" s="338"/>
      <c r="CF50" s="338"/>
      <c r="CG50" s="338"/>
      <c r="CH50" s="338"/>
      <c r="CI50" s="338"/>
      <c r="CJ50" s="338"/>
      <c r="CK50" s="339"/>
      <c r="CL50" s="339"/>
      <c r="CM50" s="339"/>
      <c r="CN50" s="339"/>
      <c r="CO50" s="339"/>
      <c r="CP50" s="339"/>
      <c r="CQ50" s="339"/>
      <c r="CR50" s="332"/>
      <c r="CS50" s="332"/>
      <c r="CT50" s="332"/>
      <c r="CU50" s="332"/>
      <c r="CV50" s="332"/>
      <c r="CW50" s="332"/>
      <c r="CX50" s="341"/>
      <c r="CY50" s="341"/>
      <c r="CZ50" s="341"/>
      <c r="DA50" s="341"/>
      <c r="DB50" s="341"/>
      <c r="DC50" s="341"/>
      <c r="DD50" s="341"/>
      <c r="DE50" s="341"/>
      <c r="DF50" s="341"/>
      <c r="DG50" s="341"/>
      <c r="DH50" s="341"/>
      <c r="DI50" s="341"/>
      <c r="DJ50" s="341"/>
      <c r="DK50" s="341"/>
      <c r="DL50" s="341"/>
      <c r="DM50" s="341"/>
      <c r="DN50" s="341"/>
      <c r="DO50" s="341"/>
      <c r="DP50" s="341"/>
      <c r="DQ50" s="341"/>
      <c r="DR50" s="341"/>
      <c r="DS50" s="341"/>
      <c r="DT50" s="341"/>
      <c r="DU50" s="341"/>
      <c r="DV50" s="341"/>
      <c r="DW50" s="341"/>
      <c r="DX50" s="341"/>
      <c r="DY50" s="342"/>
    </row>
    <row r="51" spans="1:139" ht="25.05" hidden="1" customHeight="1" thickBot="1" x14ac:dyDescent="0.45">
      <c r="A51" s="578">
        <v>17</v>
      </c>
      <c r="B51" s="579"/>
      <c r="C51" s="579"/>
      <c r="D51" s="579"/>
      <c r="E51" s="587"/>
      <c r="F51" s="587"/>
      <c r="G51" s="587"/>
      <c r="H51" s="587"/>
      <c r="I51" s="587"/>
      <c r="J51" s="587"/>
      <c r="K51" s="587"/>
      <c r="L51" s="587"/>
      <c r="M51" s="587"/>
      <c r="N51" s="587"/>
      <c r="O51" s="587"/>
      <c r="P51" s="587"/>
      <c r="Q51" s="587"/>
      <c r="R51" s="587"/>
      <c r="S51" s="587"/>
      <c r="T51" s="587"/>
      <c r="U51" s="587"/>
      <c r="V51" s="587"/>
      <c r="W51" s="587"/>
      <c r="X51" s="587"/>
      <c r="Y51" s="587"/>
      <c r="Z51" s="587"/>
      <c r="AA51" s="587"/>
      <c r="AB51" s="587"/>
      <c r="AC51" s="587"/>
      <c r="AD51" s="587"/>
      <c r="AE51" s="587"/>
      <c r="AF51" s="587"/>
      <c r="AG51" s="587"/>
      <c r="AH51" s="587"/>
      <c r="AI51" s="587"/>
      <c r="AJ51" s="587"/>
      <c r="AK51" s="587"/>
      <c r="AL51" s="587"/>
      <c r="AM51" s="587"/>
      <c r="AN51" s="587"/>
      <c r="AO51" s="587"/>
      <c r="AP51" s="587"/>
      <c r="AQ51" s="587"/>
      <c r="AR51" s="587"/>
      <c r="AS51" s="587"/>
      <c r="AT51" s="587"/>
      <c r="AU51" s="587"/>
      <c r="AV51" s="587"/>
      <c r="AW51" s="587"/>
      <c r="AX51" s="587"/>
      <c r="AY51" s="587"/>
      <c r="AZ51" s="587"/>
      <c r="BA51" s="587"/>
      <c r="BB51" s="587"/>
      <c r="BC51" s="587"/>
      <c r="BD51" s="588"/>
      <c r="BE51" s="588"/>
      <c r="BF51" s="588"/>
      <c r="BG51" s="588"/>
      <c r="BH51" s="588"/>
      <c r="BI51" s="588"/>
      <c r="BJ51" s="588"/>
      <c r="BK51" s="588"/>
      <c r="BL51" s="588"/>
      <c r="BM51" s="588"/>
      <c r="BN51" s="588"/>
      <c r="BO51" s="588"/>
      <c r="BP51" s="588"/>
      <c r="BQ51" s="588"/>
      <c r="BR51" s="588"/>
      <c r="BS51" s="588"/>
      <c r="BT51" s="588"/>
      <c r="BU51" s="588"/>
      <c r="BV51" s="588"/>
      <c r="BW51" s="588"/>
      <c r="BX51" s="338"/>
      <c r="BY51" s="338"/>
      <c r="BZ51" s="338"/>
      <c r="CA51" s="338"/>
      <c r="CB51" s="338"/>
      <c r="CC51" s="338"/>
      <c r="CD51" s="338"/>
      <c r="CE51" s="338"/>
      <c r="CF51" s="338"/>
      <c r="CG51" s="338"/>
      <c r="CH51" s="338"/>
      <c r="CI51" s="338"/>
      <c r="CJ51" s="338"/>
      <c r="CK51" s="339"/>
      <c r="CL51" s="339"/>
      <c r="CM51" s="339"/>
      <c r="CN51" s="339"/>
      <c r="CO51" s="339"/>
      <c r="CP51" s="339"/>
      <c r="CQ51" s="339"/>
      <c r="CR51" s="332"/>
      <c r="CS51" s="332"/>
      <c r="CT51" s="332"/>
      <c r="CU51" s="332"/>
      <c r="CV51" s="332"/>
      <c r="CW51" s="332"/>
      <c r="CX51" s="341"/>
      <c r="CY51" s="341"/>
      <c r="CZ51" s="341"/>
      <c r="DA51" s="341"/>
      <c r="DB51" s="341"/>
      <c r="DC51" s="341"/>
      <c r="DD51" s="341"/>
      <c r="DE51" s="341"/>
      <c r="DF51" s="341"/>
      <c r="DG51" s="341"/>
      <c r="DH51" s="341"/>
      <c r="DI51" s="341"/>
      <c r="DJ51" s="341"/>
      <c r="DK51" s="341"/>
      <c r="DL51" s="341"/>
      <c r="DM51" s="341"/>
      <c r="DN51" s="341"/>
      <c r="DO51" s="341"/>
      <c r="DP51" s="341"/>
      <c r="DQ51" s="341"/>
      <c r="DR51" s="341"/>
      <c r="DS51" s="341"/>
      <c r="DT51" s="341"/>
      <c r="DU51" s="341"/>
      <c r="DV51" s="341"/>
      <c r="DW51" s="341"/>
      <c r="DX51" s="341"/>
      <c r="DY51" s="342"/>
    </row>
    <row r="52" spans="1:139" ht="25.05" customHeight="1" thickBot="1" x14ac:dyDescent="0.45">
      <c r="A52" s="595" t="s">
        <v>514</v>
      </c>
      <c r="B52" s="590"/>
      <c r="C52" s="590"/>
      <c r="D52" s="590"/>
      <c r="E52" s="590"/>
      <c r="F52" s="590"/>
      <c r="G52" s="590"/>
      <c r="H52" s="590"/>
      <c r="I52" s="590"/>
      <c r="J52" s="590"/>
      <c r="K52" s="590"/>
      <c r="L52" s="590"/>
      <c r="M52" s="590"/>
      <c r="N52" s="590"/>
      <c r="O52" s="590"/>
      <c r="P52" s="590"/>
      <c r="Q52" s="590"/>
      <c r="R52" s="589"/>
      <c r="S52" s="589"/>
      <c r="T52" s="589"/>
      <c r="U52" s="589"/>
      <c r="V52" s="589"/>
      <c r="W52" s="589"/>
      <c r="X52" s="589"/>
      <c r="Y52" s="589"/>
      <c r="Z52" s="589"/>
      <c r="AA52" s="596"/>
      <c r="AB52" s="596"/>
      <c r="AC52" s="596"/>
      <c r="AD52" s="596"/>
      <c r="AE52" s="596"/>
      <c r="AF52" s="596"/>
      <c r="AG52" s="596"/>
      <c r="AH52" s="596"/>
      <c r="AI52" s="596"/>
      <c r="AJ52" s="589"/>
      <c r="AK52" s="589"/>
      <c r="AL52" s="589"/>
      <c r="AM52" s="589"/>
      <c r="AN52" s="589"/>
      <c r="AO52" s="589"/>
      <c r="AP52" s="589"/>
      <c r="AQ52" s="589"/>
      <c r="AR52" s="589"/>
      <c r="AS52" s="589"/>
      <c r="AT52" s="589"/>
      <c r="AU52" s="589"/>
      <c r="AV52" s="589"/>
      <c r="AW52" s="589"/>
      <c r="AX52" s="589"/>
      <c r="AY52" s="589"/>
      <c r="AZ52" s="589"/>
      <c r="BA52" s="589"/>
      <c r="BB52" s="589"/>
      <c r="BC52" s="589"/>
      <c r="BD52" s="597"/>
      <c r="BE52" s="597"/>
      <c r="BF52" s="597"/>
      <c r="BG52" s="597"/>
      <c r="BH52" s="597"/>
      <c r="BI52" s="597"/>
      <c r="BJ52" s="597"/>
      <c r="BK52" s="597"/>
      <c r="BL52" s="597"/>
      <c r="BM52" s="597"/>
      <c r="BN52" s="597"/>
      <c r="BO52" s="597"/>
      <c r="BP52" s="597"/>
      <c r="BQ52" s="597"/>
      <c r="BR52" s="597"/>
      <c r="BS52" s="597"/>
      <c r="BT52" s="597"/>
      <c r="BU52" s="597"/>
      <c r="BV52" s="597"/>
      <c r="BW52" s="597"/>
      <c r="BX52" s="598"/>
      <c r="BY52" s="598"/>
      <c r="BZ52" s="598"/>
      <c r="CA52" s="598"/>
      <c r="CB52" s="598"/>
      <c r="CC52" s="598"/>
      <c r="CD52" s="598"/>
      <c r="CE52" s="598"/>
      <c r="CF52" s="598"/>
      <c r="CG52" s="598"/>
      <c r="CH52" s="599">
        <f>SUM(CH35:CQ51)</f>
        <v>0</v>
      </c>
      <c r="CI52" s="599"/>
      <c r="CJ52" s="599"/>
      <c r="CK52" s="599"/>
      <c r="CL52" s="599"/>
      <c r="CM52" s="599"/>
      <c r="CN52" s="599"/>
      <c r="CO52" s="599"/>
      <c r="CP52" s="599"/>
      <c r="CQ52" s="599"/>
      <c r="CR52" s="590" t="s">
        <v>520</v>
      </c>
      <c r="CS52" s="590"/>
      <c r="CT52" s="590"/>
      <c r="CU52" s="590"/>
      <c r="CV52" s="590"/>
      <c r="CW52" s="590"/>
      <c r="CX52" s="590"/>
      <c r="CY52" s="590"/>
      <c r="CZ52" s="590"/>
      <c r="DA52" s="590"/>
      <c r="DB52" s="590"/>
      <c r="DC52" s="590"/>
      <c r="DD52" s="591" t="e">
        <f>CH52/AY29</f>
        <v>#DIV/0!</v>
      </c>
      <c r="DE52" s="591"/>
      <c r="DF52" s="591"/>
      <c r="DG52" s="591"/>
      <c r="DH52" s="591"/>
      <c r="DI52" s="591"/>
      <c r="DJ52" s="591"/>
      <c r="DK52" s="591"/>
      <c r="DL52" s="591"/>
      <c r="DM52" s="591"/>
      <c r="DN52" s="591"/>
      <c r="DO52" s="591"/>
      <c r="DP52" s="591"/>
      <c r="DQ52" s="591"/>
      <c r="DR52" s="591"/>
      <c r="DS52" s="591"/>
      <c r="DT52" s="591"/>
      <c r="DU52" s="591"/>
      <c r="DV52" s="591"/>
      <c r="DW52" s="591"/>
      <c r="DX52" s="591"/>
      <c r="DY52" s="592"/>
    </row>
    <row r="53" spans="1:139" ht="19.2" customHeight="1" x14ac:dyDescent="0.4">
      <c r="A53" s="333"/>
      <c r="B53" s="333"/>
      <c r="C53" s="333"/>
      <c r="D53" s="333"/>
      <c r="E53" s="333"/>
      <c r="F53" s="333"/>
      <c r="G53" s="333"/>
      <c r="H53" s="333"/>
      <c r="I53" s="333"/>
      <c r="J53" s="333"/>
      <c r="K53" s="333"/>
      <c r="L53" s="333"/>
      <c r="M53" s="333"/>
      <c r="N53" s="333"/>
      <c r="O53" s="333"/>
      <c r="P53" s="333"/>
      <c r="Q53" s="333"/>
      <c r="R53" s="333"/>
      <c r="S53" s="333"/>
      <c r="T53" s="333"/>
      <c r="U53" s="333"/>
      <c r="V53" s="333"/>
      <c r="W53" s="333"/>
      <c r="X53" s="333"/>
      <c r="Y53" s="333"/>
      <c r="Z53" s="333"/>
      <c r="AA53" s="333"/>
      <c r="AB53" s="333"/>
      <c r="AC53" s="333"/>
      <c r="AD53" s="333"/>
      <c r="AE53" s="333"/>
      <c r="AF53" s="333"/>
      <c r="AG53" s="333"/>
      <c r="AH53" s="333"/>
      <c r="AI53" s="333"/>
      <c r="AJ53" s="333"/>
      <c r="AK53" s="333"/>
      <c r="AL53" s="333"/>
      <c r="AM53" s="333"/>
      <c r="AN53" s="333"/>
      <c r="AO53" s="333"/>
      <c r="AP53" s="333"/>
      <c r="AQ53" s="333"/>
      <c r="AR53" s="333"/>
      <c r="AS53" s="333"/>
      <c r="AT53" s="333"/>
      <c r="AU53" s="333"/>
      <c r="AV53" s="333"/>
      <c r="AW53" s="333"/>
      <c r="AX53" s="333"/>
      <c r="AY53" s="333"/>
      <c r="AZ53" s="333"/>
      <c r="BA53" s="333"/>
      <c r="BB53" s="333"/>
      <c r="BC53" s="333"/>
      <c r="BD53" s="333"/>
      <c r="BE53" s="333"/>
      <c r="BF53" s="333"/>
      <c r="BG53" s="333"/>
      <c r="BH53" s="333"/>
      <c r="BI53" s="333"/>
      <c r="BJ53" s="333"/>
      <c r="BK53" s="333"/>
      <c r="BL53" s="333"/>
      <c r="BM53" s="333"/>
      <c r="BN53" s="333"/>
      <c r="BO53" s="333"/>
      <c r="BP53" s="333"/>
      <c r="BQ53" s="333"/>
      <c r="BR53" s="333"/>
      <c r="BS53" s="333"/>
      <c r="BT53" s="333"/>
      <c r="BU53" s="333"/>
      <c r="BV53" s="333"/>
      <c r="BW53" s="333"/>
      <c r="BX53" s="333"/>
      <c r="BY53" s="333"/>
      <c r="BZ53" s="333"/>
      <c r="CA53" s="333"/>
      <c r="CB53" s="333"/>
      <c r="CC53" s="333"/>
      <c r="CD53" s="593"/>
      <c r="CE53" s="593"/>
      <c r="CF53" s="593"/>
      <c r="CG53" s="593"/>
      <c r="CH53" s="593"/>
      <c r="CI53" s="593"/>
      <c r="CJ53" s="593"/>
      <c r="CK53" s="593"/>
      <c r="CL53" s="593"/>
      <c r="CM53" s="593"/>
      <c r="CN53" s="593"/>
      <c r="CO53" s="593"/>
      <c r="CP53" s="594"/>
      <c r="CQ53" s="594"/>
      <c r="CR53" s="594"/>
      <c r="CS53" s="594"/>
      <c r="CT53" s="594"/>
      <c r="CU53" s="594"/>
      <c r="CV53" s="594"/>
      <c r="CW53" s="594"/>
      <c r="CX53" s="594"/>
      <c r="CY53" s="594"/>
      <c r="CZ53" s="594"/>
      <c r="DA53" s="594"/>
      <c r="DB53" s="594"/>
      <c r="DC53" s="337"/>
      <c r="DD53" s="337"/>
      <c r="DE53" s="337"/>
      <c r="DF53" s="337"/>
      <c r="DG53" s="337"/>
      <c r="DH53" s="333"/>
      <c r="DI53" s="333"/>
      <c r="DJ53" s="333"/>
      <c r="DK53" s="333"/>
      <c r="DL53" s="333"/>
      <c r="DM53" s="333"/>
      <c r="DN53" s="333"/>
      <c r="DO53" s="333"/>
      <c r="DP53" s="333"/>
      <c r="DQ53" s="333"/>
      <c r="DR53" s="333"/>
      <c r="DS53" s="333"/>
      <c r="DT53" s="333"/>
      <c r="DU53" s="333"/>
      <c r="DV53" s="333"/>
      <c r="DW53" s="333"/>
      <c r="DX53" s="333"/>
      <c r="DY53" s="333"/>
    </row>
    <row r="54" spans="1:139" ht="25.05" customHeight="1" x14ac:dyDescent="0.4">
      <c r="A54" s="538" t="s">
        <v>522</v>
      </c>
      <c r="B54" s="538"/>
      <c r="C54" s="538"/>
      <c r="D54" s="538"/>
      <c r="E54" s="538"/>
      <c r="F54" s="538"/>
      <c r="G54" s="538"/>
      <c r="H54" s="538"/>
      <c r="I54" s="538"/>
      <c r="J54" s="538"/>
      <c r="K54" s="538"/>
      <c r="L54" s="538"/>
      <c r="M54" s="538"/>
      <c r="N54" s="538"/>
      <c r="O54" s="538"/>
      <c r="P54" s="538"/>
      <c r="Q54" s="538"/>
      <c r="R54" s="538"/>
      <c r="S54" s="538"/>
      <c r="T54" s="538"/>
      <c r="U54" s="538"/>
      <c r="V54" s="538"/>
      <c r="W54" s="538"/>
      <c r="X54" s="538"/>
      <c r="Y54" s="538"/>
      <c r="Z54" s="538"/>
      <c r="AA54" s="538"/>
      <c r="AB54" s="538"/>
      <c r="AC54" s="538"/>
      <c r="AD54" s="538"/>
      <c r="AE54" s="538"/>
      <c r="AF54" s="538"/>
      <c r="AG54" s="538"/>
      <c r="AH54" s="538"/>
      <c r="AI54" s="538"/>
      <c r="AJ54" s="538"/>
      <c r="AK54" s="538"/>
      <c r="AL54" s="538"/>
      <c r="AM54" s="538"/>
      <c r="AN54" s="538"/>
      <c r="AO54" s="538"/>
      <c r="AP54" s="538"/>
      <c r="AQ54" s="538"/>
      <c r="AR54" s="538"/>
      <c r="AS54" s="538"/>
      <c r="AT54" s="538"/>
      <c r="AU54" s="538"/>
      <c r="AV54" s="538"/>
      <c r="AW54" s="538"/>
      <c r="AX54" s="538"/>
      <c r="AY54" s="538"/>
      <c r="AZ54" s="538"/>
      <c r="BA54" s="538"/>
      <c r="BB54" s="538"/>
      <c r="BC54" s="538"/>
      <c r="BD54" s="538"/>
      <c r="BE54" s="538"/>
      <c r="BF54" s="538"/>
      <c r="BG54" s="538"/>
      <c r="BH54" s="538"/>
      <c r="BI54" s="538"/>
      <c r="BJ54" s="538"/>
      <c r="BK54" s="538"/>
      <c r="BL54" s="538"/>
      <c r="BM54" s="333"/>
      <c r="BN54" s="333"/>
      <c r="BO54" s="333"/>
      <c r="BP54" s="538" t="s">
        <v>535</v>
      </c>
      <c r="BQ54" s="538"/>
      <c r="BR54" s="538"/>
      <c r="BS54" s="538"/>
      <c r="BT54" s="538"/>
      <c r="BU54" s="538"/>
      <c r="BV54" s="538"/>
      <c r="BW54" s="538"/>
      <c r="BX54" s="538"/>
      <c r="BY54" s="538"/>
      <c r="BZ54" s="538"/>
      <c r="CA54" s="538"/>
      <c r="CB54" s="538"/>
      <c r="CC54" s="538"/>
      <c r="CD54" s="538"/>
      <c r="CE54" s="538"/>
      <c r="CF54" s="538"/>
      <c r="CG54" s="538"/>
      <c r="CH54" s="538"/>
      <c r="CI54" s="538"/>
      <c r="CJ54" s="538"/>
      <c r="CK54" s="538"/>
      <c r="CL54" s="538"/>
      <c r="CM54" s="538"/>
      <c r="CN54" s="538"/>
      <c r="CO54" s="538"/>
      <c r="CP54" s="538"/>
      <c r="CQ54" s="538"/>
      <c r="CR54" s="538"/>
      <c r="CS54" s="538"/>
      <c r="CT54" s="538"/>
      <c r="CU54" s="538"/>
      <c r="CV54" s="538"/>
      <c r="CW54" s="538"/>
      <c r="CX54" s="538"/>
      <c r="CY54" s="538"/>
      <c r="CZ54" s="538"/>
      <c r="DA54" s="538"/>
      <c r="DB54" s="538"/>
      <c r="DC54" s="538"/>
      <c r="DD54" s="538"/>
      <c r="DE54" s="538"/>
      <c r="DF54" s="538"/>
      <c r="DG54" s="538"/>
      <c r="DH54" s="538"/>
      <c r="DI54" s="538"/>
      <c r="DJ54" s="538"/>
      <c r="DK54" s="538"/>
      <c r="DL54" s="538"/>
      <c r="DM54" s="538"/>
      <c r="DN54" s="538"/>
      <c r="DO54" s="538"/>
      <c r="DP54" s="538"/>
      <c r="DQ54" s="538"/>
      <c r="DR54" s="538"/>
      <c r="DS54" s="538"/>
      <c r="DT54" s="538"/>
      <c r="DU54" s="538"/>
      <c r="DV54" s="538"/>
      <c r="DW54" s="538"/>
      <c r="DX54" s="538"/>
      <c r="DY54" s="538"/>
    </row>
    <row r="55" spans="1:139" ht="10.050000000000001" customHeight="1" thickBot="1" x14ac:dyDescent="0.45">
      <c r="A55" s="333"/>
      <c r="B55" s="333"/>
      <c r="C55" s="333"/>
      <c r="D55" s="333"/>
      <c r="E55" s="333"/>
      <c r="F55" s="333"/>
      <c r="G55" s="333"/>
      <c r="H55" s="333"/>
      <c r="I55" s="333"/>
      <c r="J55" s="333"/>
      <c r="K55" s="333"/>
      <c r="L55" s="333"/>
      <c r="M55" s="333"/>
      <c r="N55" s="333"/>
      <c r="O55" s="333"/>
      <c r="P55" s="333"/>
      <c r="Q55" s="333"/>
      <c r="R55" s="333"/>
      <c r="S55" s="333"/>
      <c r="T55" s="333"/>
      <c r="U55" s="333"/>
      <c r="V55" s="333"/>
      <c r="W55" s="333"/>
      <c r="X55" s="333"/>
      <c r="Y55" s="333"/>
      <c r="Z55" s="333"/>
      <c r="AA55" s="333"/>
      <c r="AB55" s="333"/>
      <c r="AC55" s="333"/>
      <c r="AD55" s="333"/>
      <c r="AE55" s="333"/>
      <c r="AF55" s="333"/>
      <c r="AG55" s="333"/>
      <c r="AH55" s="333"/>
      <c r="AI55" s="333"/>
      <c r="AJ55" s="333"/>
      <c r="AK55" s="333"/>
      <c r="AL55" s="333"/>
      <c r="AM55" s="333"/>
      <c r="AN55" s="333"/>
      <c r="AO55" s="333"/>
      <c r="AP55" s="333"/>
      <c r="AQ55" s="333"/>
      <c r="AR55" s="333"/>
      <c r="AS55" s="333"/>
      <c r="AT55" s="333"/>
      <c r="AU55" s="333"/>
      <c r="AV55" s="333"/>
      <c r="AW55" s="333"/>
      <c r="AX55" s="333"/>
      <c r="AY55" s="333"/>
      <c r="AZ55" s="333"/>
      <c r="BA55" s="333"/>
      <c r="BB55" s="333"/>
      <c r="BC55" s="333"/>
      <c r="BD55" s="333"/>
      <c r="BE55" s="333"/>
      <c r="BF55" s="333"/>
      <c r="BG55" s="333"/>
      <c r="BH55" s="333"/>
      <c r="BI55" s="333"/>
      <c r="BJ55" s="333"/>
      <c r="BK55" s="333"/>
      <c r="BL55" s="333"/>
      <c r="BM55" s="333"/>
      <c r="BN55" s="333"/>
      <c r="BO55" s="333"/>
      <c r="BP55" s="333"/>
      <c r="BQ55" s="333"/>
      <c r="BR55" s="333"/>
      <c r="BS55" s="333"/>
      <c r="BT55" s="333"/>
      <c r="BU55" s="333"/>
      <c r="BV55" s="333"/>
      <c r="BW55" s="333"/>
      <c r="BX55" s="333"/>
      <c r="BY55" s="333"/>
      <c r="BZ55" s="333"/>
      <c r="CA55" s="333"/>
      <c r="CB55" s="333"/>
      <c r="CC55" s="333"/>
      <c r="CD55" s="333"/>
      <c r="CE55" s="333"/>
      <c r="CF55" s="333"/>
      <c r="CG55" s="333"/>
      <c r="CH55" s="333"/>
      <c r="CI55" s="333"/>
      <c r="CJ55" s="333"/>
      <c r="CK55" s="333"/>
      <c r="CL55" s="333"/>
      <c r="CM55" s="333"/>
      <c r="CN55" s="333"/>
      <c r="CO55" s="333"/>
      <c r="CP55" s="333"/>
      <c r="CQ55" s="333"/>
      <c r="CR55" s="333"/>
      <c r="CS55" s="333"/>
      <c r="CT55" s="333"/>
      <c r="CU55" s="333"/>
      <c r="CV55" s="333"/>
      <c r="CW55" s="333"/>
      <c r="CX55" s="333"/>
      <c r="CY55" s="333"/>
      <c r="CZ55" s="333"/>
      <c r="DA55" s="333"/>
      <c r="DB55" s="333"/>
      <c r="DC55" s="333"/>
      <c r="DD55" s="333"/>
      <c r="DE55" s="333"/>
      <c r="DF55" s="333"/>
      <c r="DG55" s="333"/>
      <c r="DH55" s="333"/>
      <c r="DI55" s="333"/>
      <c r="DJ55" s="333"/>
      <c r="DK55" s="333"/>
      <c r="DL55" s="333"/>
      <c r="DM55" s="333"/>
      <c r="DN55" s="333"/>
      <c r="DO55" s="333"/>
      <c r="DP55" s="333"/>
      <c r="DQ55" s="333"/>
      <c r="DR55" s="333"/>
      <c r="DS55" s="333"/>
      <c r="DT55" s="333"/>
      <c r="DU55" s="333"/>
      <c r="DV55" s="333"/>
      <c r="DW55" s="333"/>
      <c r="DX55" s="333"/>
      <c r="DY55" s="333"/>
    </row>
    <row r="56" spans="1:139" ht="25.05" customHeight="1" x14ac:dyDescent="0.4">
      <c r="A56" s="600" t="s">
        <v>524</v>
      </c>
      <c r="B56" s="601"/>
      <c r="C56" s="601"/>
      <c r="D56" s="601"/>
      <c r="E56" s="601"/>
      <c r="F56" s="601"/>
      <c r="G56" s="601"/>
      <c r="H56" s="601"/>
      <c r="I56" s="601"/>
      <c r="J56" s="601"/>
      <c r="K56" s="601"/>
      <c r="L56" s="601"/>
      <c r="M56" s="601"/>
      <c r="N56" s="601"/>
      <c r="O56" s="601"/>
      <c r="P56" s="601"/>
      <c r="Q56" s="602" t="s">
        <v>533</v>
      </c>
      <c r="R56" s="602"/>
      <c r="S56" s="602"/>
      <c r="T56" s="602"/>
      <c r="U56" s="602"/>
      <c r="V56" s="602"/>
      <c r="W56" s="602"/>
      <c r="X56" s="602"/>
      <c r="Y56" s="602"/>
      <c r="Z56" s="602"/>
      <c r="AA56" s="602"/>
      <c r="AB56" s="602"/>
      <c r="AC56" s="602" t="s">
        <v>533</v>
      </c>
      <c r="AD56" s="602"/>
      <c r="AE56" s="602"/>
      <c r="AF56" s="602"/>
      <c r="AG56" s="602"/>
      <c r="AH56" s="602"/>
      <c r="AI56" s="602"/>
      <c r="AJ56" s="602"/>
      <c r="AK56" s="602"/>
      <c r="AL56" s="602"/>
      <c r="AM56" s="602"/>
      <c r="AN56" s="602"/>
      <c r="AO56" s="602" t="s">
        <v>534</v>
      </c>
      <c r="AP56" s="602"/>
      <c r="AQ56" s="602"/>
      <c r="AR56" s="602"/>
      <c r="AS56" s="602"/>
      <c r="AT56" s="602"/>
      <c r="AU56" s="602"/>
      <c r="AV56" s="602"/>
      <c r="AW56" s="602"/>
      <c r="AX56" s="602"/>
      <c r="AY56" s="602"/>
      <c r="AZ56" s="602"/>
      <c r="BA56" s="602" t="s">
        <v>534</v>
      </c>
      <c r="BB56" s="602"/>
      <c r="BC56" s="602"/>
      <c r="BD56" s="602"/>
      <c r="BE56" s="602"/>
      <c r="BF56" s="602"/>
      <c r="BG56" s="602"/>
      <c r="BH56" s="602"/>
      <c r="BI56" s="602"/>
      <c r="BJ56" s="602"/>
      <c r="BK56" s="602"/>
      <c r="BL56" s="603"/>
      <c r="BN56" s="333"/>
      <c r="BO56" s="333"/>
      <c r="BP56" s="604" t="s">
        <v>536</v>
      </c>
      <c r="BQ56" s="605"/>
      <c r="BR56" s="605"/>
      <c r="BS56" s="605"/>
      <c r="BT56" s="605"/>
      <c r="BU56" s="605"/>
      <c r="BV56" s="605"/>
      <c r="BW56" s="605"/>
      <c r="BX56" s="605"/>
      <c r="BY56" s="605"/>
      <c r="BZ56" s="605"/>
      <c r="CA56" s="605"/>
      <c r="CB56" s="605"/>
      <c r="CC56" s="605"/>
      <c r="CD56" s="605"/>
      <c r="CE56" s="605" t="s">
        <v>538</v>
      </c>
      <c r="CF56" s="605"/>
      <c r="CG56" s="605"/>
      <c r="CH56" s="605"/>
      <c r="CI56" s="605"/>
      <c r="CJ56" s="605"/>
      <c r="CK56" s="605"/>
      <c r="CL56" s="605"/>
      <c r="CM56" s="605"/>
      <c r="CN56" s="605"/>
      <c r="CO56" s="605"/>
      <c r="CP56" s="605"/>
      <c r="CQ56" s="605"/>
      <c r="CR56" s="605"/>
      <c r="CS56" s="605"/>
      <c r="CT56" s="605"/>
      <c r="CU56" s="605"/>
      <c r="CV56" s="605"/>
      <c r="CW56" s="605"/>
      <c r="CX56" s="605"/>
      <c r="CY56" s="605"/>
      <c r="CZ56" s="605"/>
      <c r="DA56" s="605"/>
      <c r="DB56" s="605"/>
      <c r="DC56" s="605"/>
      <c r="DD56" s="605"/>
      <c r="DE56" s="605"/>
      <c r="DF56" s="605" t="s">
        <v>539</v>
      </c>
      <c r="DG56" s="605"/>
      <c r="DH56" s="605"/>
      <c r="DI56" s="605"/>
      <c r="DJ56" s="605"/>
      <c r="DK56" s="605"/>
      <c r="DL56" s="605"/>
      <c r="DM56" s="605"/>
      <c r="DN56" s="605"/>
      <c r="DO56" s="605"/>
      <c r="DP56" s="605" t="s">
        <v>540</v>
      </c>
      <c r="DQ56" s="605"/>
      <c r="DR56" s="605"/>
      <c r="DS56" s="605"/>
      <c r="DT56" s="605"/>
      <c r="DU56" s="605"/>
      <c r="DV56" s="605"/>
      <c r="DW56" s="605"/>
      <c r="DX56" s="605"/>
      <c r="DY56" s="606"/>
    </row>
    <row r="57" spans="1:139" ht="25.05" customHeight="1" x14ac:dyDescent="0.4">
      <c r="A57" s="578"/>
      <c r="B57" s="579"/>
      <c r="C57" s="579"/>
      <c r="D57" s="579"/>
      <c r="E57" s="579"/>
      <c r="F57" s="579"/>
      <c r="G57" s="579"/>
      <c r="H57" s="579"/>
      <c r="I57" s="579"/>
      <c r="J57" s="579"/>
      <c r="K57" s="579"/>
      <c r="L57" s="579"/>
      <c r="M57" s="579"/>
      <c r="N57" s="579"/>
      <c r="O57" s="579"/>
      <c r="P57" s="579"/>
      <c r="Q57" s="607"/>
      <c r="R57" s="607"/>
      <c r="S57" s="607"/>
      <c r="T57" s="607"/>
      <c r="U57" s="607"/>
      <c r="V57" s="607"/>
      <c r="W57" s="607"/>
      <c r="X57" s="607"/>
      <c r="Y57" s="607"/>
      <c r="Z57" s="607"/>
      <c r="AA57" s="607"/>
      <c r="AB57" s="607"/>
      <c r="AC57" s="607"/>
      <c r="AD57" s="607"/>
      <c r="AE57" s="607"/>
      <c r="AF57" s="607"/>
      <c r="AG57" s="607"/>
      <c r="AH57" s="607"/>
      <c r="AI57" s="607"/>
      <c r="AJ57" s="607"/>
      <c r="AK57" s="607"/>
      <c r="AL57" s="607"/>
      <c r="AM57" s="607"/>
      <c r="AN57" s="607"/>
      <c r="AO57" s="607"/>
      <c r="AP57" s="607"/>
      <c r="AQ57" s="607"/>
      <c r="AR57" s="607"/>
      <c r="AS57" s="607"/>
      <c r="AT57" s="607"/>
      <c r="AU57" s="607"/>
      <c r="AV57" s="607"/>
      <c r="AW57" s="607"/>
      <c r="AX57" s="607"/>
      <c r="AY57" s="607"/>
      <c r="AZ57" s="607"/>
      <c r="BA57" s="607"/>
      <c r="BB57" s="607"/>
      <c r="BC57" s="607"/>
      <c r="BD57" s="607"/>
      <c r="BE57" s="607"/>
      <c r="BF57" s="607"/>
      <c r="BG57" s="607"/>
      <c r="BH57" s="607"/>
      <c r="BI57" s="607"/>
      <c r="BJ57" s="607"/>
      <c r="BK57" s="607"/>
      <c r="BL57" s="608"/>
      <c r="BM57" s="333"/>
      <c r="BN57" s="333"/>
      <c r="BO57" s="333"/>
      <c r="BP57" s="609" t="s">
        <v>541</v>
      </c>
      <c r="BQ57" s="610"/>
      <c r="BR57" s="610"/>
      <c r="BS57" s="610"/>
      <c r="BT57" s="610"/>
      <c r="BU57" s="610"/>
      <c r="BV57" s="610"/>
      <c r="BW57" s="610"/>
      <c r="BX57" s="610"/>
      <c r="BY57" s="610"/>
      <c r="BZ57" s="610"/>
      <c r="CA57" s="610"/>
      <c r="CB57" s="610"/>
      <c r="CC57" s="610"/>
      <c r="CD57" s="610"/>
      <c r="CE57" s="610" t="s">
        <v>542</v>
      </c>
      <c r="CF57" s="610"/>
      <c r="CG57" s="610"/>
      <c r="CH57" s="610"/>
      <c r="CI57" s="610"/>
      <c r="CJ57" s="610"/>
      <c r="CK57" s="610"/>
      <c r="CL57" s="610"/>
      <c r="CM57" s="610"/>
      <c r="CN57" s="610"/>
      <c r="CO57" s="610"/>
      <c r="CP57" s="610"/>
      <c r="CQ57" s="610"/>
      <c r="CR57" s="610"/>
      <c r="CS57" s="610"/>
      <c r="CT57" s="610"/>
      <c r="CU57" s="610"/>
      <c r="CV57" s="610"/>
      <c r="CW57" s="610"/>
      <c r="CX57" s="610"/>
      <c r="CY57" s="610"/>
      <c r="CZ57" s="610"/>
      <c r="DA57" s="610"/>
      <c r="DB57" s="610"/>
      <c r="DC57" s="610"/>
      <c r="DD57" s="610"/>
      <c r="DE57" s="610"/>
      <c r="DF57" s="611"/>
      <c r="DG57" s="611"/>
      <c r="DH57" s="611"/>
      <c r="DI57" s="611"/>
      <c r="DJ57" s="611"/>
      <c r="DK57" s="611"/>
      <c r="DL57" s="611"/>
      <c r="DM57" s="611"/>
      <c r="DN57" s="611"/>
      <c r="DO57" s="611"/>
      <c r="DP57" s="611"/>
      <c r="DQ57" s="611"/>
      <c r="DR57" s="611"/>
      <c r="DS57" s="611"/>
      <c r="DT57" s="611"/>
      <c r="DU57" s="611"/>
      <c r="DV57" s="611"/>
      <c r="DW57" s="611"/>
      <c r="DX57" s="611"/>
      <c r="DY57" s="612"/>
    </row>
    <row r="58" spans="1:139" ht="25.05" customHeight="1" x14ac:dyDescent="0.4">
      <c r="A58" s="632" t="s">
        <v>530</v>
      </c>
      <c r="B58" s="633"/>
      <c r="C58" s="633"/>
      <c r="D58" s="633"/>
      <c r="E58" s="633"/>
      <c r="F58" s="633"/>
      <c r="G58" s="633"/>
      <c r="H58" s="633"/>
      <c r="I58" s="633"/>
      <c r="J58" s="633"/>
      <c r="K58" s="633"/>
      <c r="L58" s="633"/>
      <c r="M58" s="633"/>
      <c r="N58" s="633"/>
      <c r="O58" s="633"/>
      <c r="P58" s="634"/>
      <c r="Q58" s="638"/>
      <c r="R58" s="639"/>
      <c r="S58" s="639"/>
      <c r="T58" s="639"/>
      <c r="U58" s="639"/>
      <c r="V58" s="639"/>
      <c r="W58" s="639"/>
      <c r="X58" s="639"/>
      <c r="Y58" s="639"/>
      <c r="Z58" s="639"/>
      <c r="AA58" s="639"/>
      <c r="AB58" s="640"/>
      <c r="AC58" s="638"/>
      <c r="AD58" s="639"/>
      <c r="AE58" s="639"/>
      <c r="AF58" s="639"/>
      <c r="AG58" s="639"/>
      <c r="AH58" s="639"/>
      <c r="AI58" s="639"/>
      <c r="AJ58" s="639"/>
      <c r="AK58" s="639"/>
      <c r="AL58" s="639"/>
      <c r="AM58" s="639"/>
      <c r="AN58" s="640"/>
      <c r="AO58" s="638"/>
      <c r="AP58" s="639"/>
      <c r="AQ58" s="639"/>
      <c r="AR58" s="639"/>
      <c r="AS58" s="639"/>
      <c r="AT58" s="639"/>
      <c r="AU58" s="639"/>
      <c r="AV58" s="639"/>
      <c r="AW58" s="639"/>
      <c r="AX58" s="639"/>
      <c r="AY58" s="639"/>
      <c r="AZ58" s="640"/>
      <c r="BA58" s="638"/>
      <c r="BB58" s="639"/>
      <c r="BC58" s="639"/>
      <c r="BD58" s="639"/>
      <c r="BE58" s="639"/>
      <c r="BF58" s="639"/>
      <c r="BG58" s="639"/>
      <c r="BH58" s="639"/>
      <c r="BI58" s="639"/>
      <c r="BJ58" s="639"/>
      <c r="BK58" s="639"/>
      <c r="BL58" s="641"/>
      <c r="BM58" s="333"/>
      <c r="BN58" s="333"/>
      <c r="BO58" s="333"/>
      <c r="BP58" s="609" t="s">
        <v>545</v>
      </c>
      <c r="BQ58" s="610"/>
      <c r="BR58" s="610"/>
      <c r="BS58" s="610"/>
      <c r="BT58" s="610"/>
      <c r="BU58" s="610"/>
      <c r="BV58" s="610"/>
      <c r="BW58" s="610"/>
      <c r="BX58" s="610"/>
      <c r="BY58" s="610"/>
      <c r="BZ58" s="610"/>
      <c r="CA58" s="610"/>
      <c r="CB58" s="610"/>
      <c r="CC58" s="610"/>
      <c r="CD58" s="610"/>
      <c r="CE58" s="610" t="s">
        <v>546</v>
      </c>
      <c r="CF58" s="610"/>
      <c r="CG58" s="610"/>
      <c r="CH58" s="610"/>
      <c r="CI58" s="610"/>
      <c r="CJ58" s="610"/>
      <c r="CK58" s="610"/>
      <c r="CL58" s="610"/>
      <c r="CM58" s="610"/>
      <c r="CN58" s="610"/>
      <c r="CO58" s="610"/>
      <c r="CP58" s="610"/>
      <c r="CQ58" s="610"/>
      <c r="CR58" s="610"/>
      <c r="CS58" s="610"/>
      <c r="CT58" s="610"/>
      <c r="CU58" s="610"/>
      <c r="CV58" s="610"/>
      <c r="CW58" s="610"/>
      <c r="CX58" s="610"/>
      <c r="CY58" s="610"/>
      <c r="CZ58" s="610"/>
      <c r="DA58" s="610"/>
      <c r="DB58" s="610"/>
      <c r="DC58" s="610"/>
      <c r="DD58" s="610"/>
      <c r="DE58" s="610"/>
      <c r="DF58" s="611"/>
      <c r="DG58" s="611"/>
      <c r="DH58" s="611"/>
      <c r="DI58" s="611"/>
      <c r="DJ58" s="611"/>
      <c r="DK58" s="611"/>
      <c r="DL58" s="611"/>
      <c r="DM58" s="611"/>
      <c r="DN58" s="611"/>
      <c r="DO58" s="611"/>
      <c r="DP58" s="611"/>
      <c r="DQ58" s="611"/>
      <c r="DR58" s="611"/>
      <c r="DS58" s="611"/>
      <c r="DT58" s="611"/>
      <c r="DU58" s="611"/>
      <c r="DV58" s="611"/>
      <c r="DW58" s="611"/>
      <c r="DX58" s="611"/>
      <c r="DY58" s="612"/>
    </row>
    <row r="59" spans="1:139" ht="25.05" customHeight="1" x14ac:dyDescent="0.4">
      <c r="A59" s="635"/>
      <c r="B59" s="636"/>
      <c r="C59" s="636"/>
      <c r="D59" s="636"/>
      <c r="E59" s="636"/>
      <c r="F59" s="636"/>
      <c r="G59" s="636"/>
      <c r="H59" s="636"/>
      <c r="I59" s="636"/>
      <c r="J59" s="636"/>
      <c r="K59" s="636"/>
      <c r="L59" s="636"/>
      <c r="M59" s="636"/>
      <c r="N59" s="636"/>
      <c r="O59" s="636"/>
      <c r="P59" s="637"/>
      <c r="Q59" s="617"/>
      <c r="R59" s="617"/>
      <c r="S59" s="617"/>
      <c r="T59" s="617"/>
      <c r="U59" s="617"/>
      <c r="V59" s="617"/>
      <c r="W59" s="617"/>
      <c r="X59" s="617"/>
      <c r="Y59" s="617"/>
      <c r="Z59" s="617"/>
      <c r="AA59" s="617"/>
      <c r="AB59" s="617"/>
      <c r="AC59" s="617"/>
      <c r="AD59" s="617"/>
      <c r="AE59" s="617"/>
      <c r="AF59" s="617"/>
      <c r="AG59" s="617"/>
      <c r="AH59" s="617"/>
      <c r="AI59" s="617"/>
      <c r="AJ59" s="617"/>
      <c r="AK59" s="617"/>
      <c r="AL59" s="617"/>
      <c r="AM59" s="617"/>
      <c r="AN59" s="617"/>
      <c r="AO59" s="617"/>
      <c r="AP59" s="617"/>
      <c r="AQ59" s="617"/>
      <c r="AR59" s="617"/>
      <c r="AS59" s="617"/>
      <c r="AT59" s="617"/>
      <c r="AU59" s="617"/>
      <c r="AV59" s="617"/>
      <c r="AW59" s="617"/>
      <c r="AX59" s="617"/>
      <c r="AY59" s="617"/>
      <c r="AZ59" s="617"/>
      <c r="BA59" s="617"/>
      <c r="BB59" s="617"/>
      <c r="BC59" s="617"/>
      <c r="BD59" s="617"/>
      <c r="BE59" s="617"/>
      <c r="BF59" s="617"/>
      <c r="BG59" s="617"/>
      <c r="BH59" s="617"/>
      <c r="BI59" s="617"/>
      <c r="BJ59" s="617"/>
      <c r="BK59" s="617"/>
      <c r="BL59" s="618"/>
      <c r="BM59" s="333"/>
      <c r="BN59" s="333"/>
      <c r="BO59" s="333"/>
      <c r="BP59" s="609" t="s">
        <v>537</v>
      </c>
      <c r="BQ59" s="610"/>
      <c r="BR59" s="610"/>
      <c r="BS59" s="610"/>
      <c r="BT59" s="610"/>
      <c r="BU59" s="610"/>
      <c r="BV59" s="610"/>
      <c r="BW59" s="610"/>
      <c r="BX59" s="610"/>
      <c r="BY59" s="610"/>
      <c r="BZ59" s="610"/>
      <c r="CA59" s="610"/>
      <c r="CB59" s="610"/>
      <c r="CC59" s="610"/>
      <c r="CD59" s="610"/>
      <c r="CE59" s="610" t="s">
        <v>547</v>
      </c>
      <c r="CF59" s="610"/>
      <c r="CG59" s="610"/>
      <c r="CH59" s="610"/>
      <c r="CI59" s="610"/>
      <c r="CJ59" s="610"/>
      <c r="CK59" s="610"/>
      <c r="CL59" s="610"/>
      <c r="CM59" s="610"/>
      <c r="CN59" s="610"/>
      <c r="CO59" s="610"/>
      <c r="CP59" s="610"/>
      <c r="CQ59" s="610"/>
      <c r="CR59" s="610"/>
      <c r="CS59" s="610"/>
      <c r="CT59" s="610"/>
      <c r="CU59" s="610"/>
      <c r="CV59" s="610"/>
      <c r="CW59" s="610"/>
      <c r="CX59" s="610"/>
      <c r="CY59" s="610"/>
      <c r="CZ59" s="610"/>
      <c r="DA59" s="610"/>
      <c r="DB59" s="610"/>
      <c r="DC59" s="610"/>
      <c r="DD59" s="610"/>
      <c r="DE59" s="610"/>
      <c r="DF59" s="611"/>
      <c r="DG59" s="611"/>
      <c r="DH59" s="611"/>
      <c r="DI59" s="611"/>
      <c r="DJ59" s="611"/>
      <c r="DK59" s="611"/>
      <c r="DL59" s="611"/>
      <c r="DM59" s="611"/>
      <c r="DN59" s="611"/>
      <c r="DO59" s="611"/>
      <c r="DP59" s="611"/>
      <c r="DQ59" s="611"/>
      <c r="DR59" s="611"/>
      <c r="DS59" s="611"/>
      <c r="DT59" s="611"/>
      <c r="DU59" s="611"/>
      <c r="DV59" s="611"/>
      <c r="DW59" s="611"/>
      <c r="DX59" s="611"/>
      <c r="DY59" s="612"/>
    </row>
    <row r="60" spans="1:139" ht="25.05" customHeight="1" x14ac:dyDescent="0.4">
      <c r="A60" s="578" t="s">
        <v>526</v>
      </c>
      <c r="B60" s="579"/>
      <c r="C60" s="579"/>
      <c r="D60" s="579"/>
      <c r="E60" s="579"/>
      <c r="F60" s="579"/>
      <c r="G60" s="579"/>
      <c r="H60" s="579"/>
      <c r="I60" s="579"/>
      <c r="J60" s="579"/>
      <c r="K60" s="579"/>
      <c r="L60" s="579"/>
      <c r="M60" s="579"/>
      <c r="N60" s="579"/>
      <c r="O60" s="579"/>
      <c r="P60" s="579"/>
      <c r="Q60" s="617" t="e">
        <f>AVERAGE(Q59:BL59)*96</f>
        <v>#DIV/0!</v>
      </c>
      <c r="R60" s="617"/>
      <c r="S60" s="617"/>
      <c r="T60" s="617"/>
      <c r="U60" s="617"/>
      <c r="V60" s="617"/>
      <c r="W60" s="617"/>
      <c r="X60" s="617"/>
      <c r="Y60" s="617"/>
      <c r="Z60" s="617"/>
      <c r="AA60" s="617"/>
      <c r="AB60" s="617"/>
      <c r="AC60" s="617"/>
      <c r="AD60" s="617"/>
      <c r="AE60" s="617"/>
      <c r="AF60" s="617"/>
      <c r="AG60" s="617"/>
      <c r="AH60" s="617"/>
      <c r="AI60" s="617"/>
      <c r="AJ60" s="617"/>
      <c r="AK60" s="617"/>
      <c r="AL60" s="617"/>
      <c r="AM60" s="617"/>
      <c r="AN60" s="617"/>
      <c r="AO60" s="617"/>
      <c r="AP60" s="617"/>
      <c r="AQ60" s="617"/>
      <c r="AR60" s="617"/>
      <c r="AS60" s="617"/>
      <c r="AT60" s="617"/>
      <c r="AU60" s="617"/>
      <c r="AV60" s="617"/>
      <c r="AW60" s="617"/>
      <c r="AX60" s="617"/>
      <c r="AY60" s="617"/>
      <c r="AZ60" s="617"/>
      <c r="BA60" s="617"/>
      <c r="BB60" s="617"/>
      <c r="BC60" s="617"/>
      <c r="BD60" s="617"/>
      <c r="BE60" s="617"/>
      <c r="BF60" s="617"/>
      <c r="BG60" s="617"/>
      <c r="BH60" s="617"/>
      <c r="BI60" s="617"/>
      <c r="BJ60" s="617"/>
      <c r="BK60" s="617"/>
      <c r="BL60" s="618"/>
      <c r="BM60" s="333"/>
      <c r="BN60" s="333"/>
      <c r="BO60" s="333"/>
      <c r="BP60" s="609" t="s">
        <v>543</v>
      </c>
      <c r="BQ60" s="610"/>
      <c r="BR60" s="610"/>
      <c r="BS60" s="610"/>
      <c r="BT60" s="610"/>
      <c r="BU60" s="610"/>
      <c r="BV60" s="610"/>
      <c r="BW60" s="610"/>
      <c r="BX60" s="610"/>
      <c r="BY60" s="610"/>
      <c r="BZ60" s="610"/>
      <c r="CA60" s="610"/>
      <c r="CB60" s="610"/>
      <c r="CC60" s="610"/>
      <c r="CD60" s="610"/>
      <c r="CE60" s="610" t="s">
        <v>544</v>
      </c>
      <c r="CF60" s="610"/>
      <c r="CG60" s="610"/>
      <c r="CH60" s="610"/>
      <c r="CI60" s="610"/>
      <c r="CJ60" s="610"/>
      <c r="CK60" s="610"/>
      <c r="CL60" s="610"/>
      <c r="CM60" s="610"/>
      <c r="CN60" s="610"/>
      <c r="CO60" s="610"/>
      <c r="CP60" s="610"/>
      <c r="CQ60" s="610"/>
      <c r="CR60" s="610"/>
      <c r="CS60" s="610"/>
      <c r="CT60" s="610"/>
      <c r="CU60" s="610"/>
      <c r="CV60" s="610"/>
      <c r="CW60" s="610"/>
      <c r="CX60" s="610"/>
      <c r="CY60" s="610"/>
      <c r="CZ60" s="610"/>
      <c r="DA60" s="610"/>
      <c r="DB60" s="610"/>
      <c r="DC60" s="610"/>
      <c r="DD60" s="610"/>
      <c r="DE60" s="610"/>
      <c r="DF60" s="611"/>
      <c r="DG60" s="611"/>
      <c r="DH60" s="611"/>
      <c r="DI60" s="611"/>
      <c r="DJ60" s="611"/>
      <c r="DK60" s="611"/>
      <c r="DL60" s="611"/>
      <c r="DM60" s="611"/>
      <c r="DN60" s="611"/>
      <c r="DO60" s="611"/>
      <c r="DP60" s="611"/>
      <c r="DQ60" s="611"/>
      <c r="DR60" s="611"/>
      <c r="DS60" s="611"/>
      <c r="DT60" s="611"/>
      <c r="DU60" s="611"/>
      <c r="DV60" s="611"/>
      <c r="DW60" s="611"/>
      <c r="DX60" s="611"/>
      <c r="DY60" s="612"/>
    </row>
    <row r="61" spans="1:139" ht="25.05" customHeight="1" thickBot="1" x14ac:dyDescent="0.45">
      <c r="A61" s="613" t="s">
        <v>525</v>
      </c>
      <c r="B61" s="614"/>
      <c r="C61" s="614"/>
      <c r="D61" s="614"/>
      <c r="E61" s="614"/>
      <c r="F61" s="614"/>
      <c r="G61" s="614"/>
      <c r="H61" s="614"/>
      <c r="I61" s="614"/>
      <c r="J61" s="614"/>
      <c r="K61" s="614"/>
      <c r="L61" s="614"/>
      <c r="M61" s="614"/>
      <c r="N61" s="614"/>
      <c r="O61" s="614"/>
      <c r="P61" s="614"/>
      <c r="Q61" s="615" t="e">
        <f>Q60/CH52</f>
        <v>#DIV/0!</v>
      </c>
      <c r="R61" s="615"/>
      <c r="S61" s="615"/>
      <c r="T61" s="615"/>
      <c r="U61" s="615"/>
      <c r="V61" s="615"/>
      <c r="W61" s="615"/>
      <c r="X61" s="615"/>
      <c r="Y61" s="615"/>
      <c r="Z61" s="615"/>
      <c r="AA61" s="615"/>
      <c r="AB61" s="615"/>
      <c r="AC61" s="615"/>
      <c r="AD61" s="615"/>
      <c r="AE61" s="615"/>
      <c r="AF61" s="615"/>
      <c r="AG61" s="615"/>
      <c r="AH61" s="615"/>
      <c r="AI61" s="615"/>
      <c r="AJ61" s="615"/>
      <c r="AK61" s="615"/>
      <c r="AL61" s="615"/>
      <c r="AM61" s="615"/>
      <c r="AN61" s="615"/>
      <c r="AO61" s="615"/>
      <c r="AP61" s="615"/>
      <c r="AQ61" s="615"/>
      <c r="AR61" s="615"/>
      <c r="AS61" s="615"/>
      <c r="AT61" s="615"/>
      <c r="AU61" s="615"/>
      <c r="AV61" s="615"/>
      <c r="AW61" s="615"/>
      <c r="AX61" s="615"/>
      <c r="AY61" s="615"/>
      <c r="AZ61" s="615"/>
      <c r="BA61" s="615"/>
      <c r="BB61" s="615"/>
      <c r="BC61" s="615"/>
      <c r="BD61" s="615"/>
      <c r="BE61" s="615"/>
      <c r="BF61" s="615"/>
      <c r="BG61" s="615"/>
      <c r="BH61" s="615"/>
      <c r="BI61" s="615"/>
      <c r="BJ61" s="615"/>
      <c r="BK61" s="615"/>
      <c r="BL61" s="616"/>
      <c r="BM61" s="333"/>
      <c r="BN61" s="333"/>
      <c r="BO61" s="333"/>
      <c r="BP61" s="595" t="s">
        <v>548</v>
      </c>
      <c r="BQ61" s="590"/>
      <c r="BR61" s="590"/>
      <c r="BS61" s="590"/>
      <c r="BT61" s="590"/>
      <c r="BU61" s="590"/>
      <c r="BV61" s="590"/>
      <c r="BW61" s="590"/>
      <c r="BX61" s="590"/>
      <c r="BY61" s="590"/>
      <c r="BZ61" s="590"/>
      <c r="CA61" s="590"/>
      <c r="CB61" s="590"/>
      <c r="CC61" s="590"/>
      <c r="CD61" s="590"/>
      <c r="CE61" s="590" t="s">
        <v>549</v>
      </c>
      <c r="CF61" s="590"/>
      <c r="CG61" s="590"/>
      <c r="CH61" s="590"/>
      <c r="CI61" s="590"/>
      <c r="CJ61" s="590"/>
      <c r="CK61" s="590"/>
      <c r="CL61" s="590"/>
      <c r="CM61" s="590"/>
      <c r="CN61" s="590"/>
      <c r="CO61" s="590"/>
      <c r="CP61" s="590"/>
      <c r="CQ61" s="590"/>
      <c r="CR61" s="590"/>
      <c r="CS61" s="590"/>
      <c r="CT61" s="590"/>
      <c r="CU61" s="590"/>
      <c r="CV61" s="590"/>
      <c r="CW61" s="590"/>
      <c r="CX61" s="590"/>
      <c r="CY61" s="590"/>
      <c r="CZ61" s="590"/>
      <c r="DA61" s="590"/>
      <c r="DB61" s="590"/>
      <c r="DC61" s="590"/>
      <c r="DD61" s="590"/>
      <c r="DE61" s="590"/>
      <c r="DF61" s="628"/>
      <c r="DG61" s="628"/>
      <c r="DH61" s="628"/>
      <c r="DI61" s="628"/>
      <c r="DJ61" s="628"/>
      <c r="DK61" s="628"/>
      <c r="DL61" s="628"/>
      <c r="DM61" s="628"/>
      <c r="DN61" s="628"/>
      <c r="DO61" s="628"/>
      <c r="DP61" s="628"/>
      <c r="DQ61" s="628"/>
      <c r="DR61" s="628"/>
      <c r="DS61" s="628"/>
      <c r="DT61" s="628"/>
      <c r="DU61" s="628"/>
      <c r="DV61" s="628"/>
      <c r="DW61" s="628"/>
      <c r="DX61" s="628"/>
      <c r="DY61" s="629"/>
    </row>
    <row r="62" spans="1:139" ht="25.05" customHeight="1" x14ac:dyDescent="0.4">
      <c r="A62" s="361"/>
      <c r="B62" s="361"/>
      <c r="C62" s="361"/>
      <c r="D62" s="361"/>
      <c r="E62" s="361"/>
      <c r="F62" s="361"/>
      <c r="G62" s="361"/>
      <c r="H62" s="361"/>
      <c r="I62" s="361"/>
      <c r="J62" s="361"/>
      <c r="K62" s="362"/>
      <c r="L62" s="362"/>
      <c r="M62" s="362"/>
      <c r="N62" s="362"/>
      <c r="O62" s="362"/>
      <c r="P62" s="362"/>
      <c r="Q62" s="362"/>
      <c r="R62" s="362"/>
      <c r="S62" s="362"/>
      <c r="T62" s="340"/>
      <c r="U62" s="340"/>
      <c r="V62" s="340"/>
      <c r="W62" s="631"/>
      <c r="X62" s="631"/>
      <c r="Y62" s="631"/>
      <c r="Z62" s="631"/>
      <c r="AA62" s="631"/>
      <c r="AB62" s="631"/>
      <c r="AC62" s="631"/>
      <c r="AD62" s="631"/>
      <c r="AE62" s="631"/>
      <c r="AF62" s="631"/>
      <c r="AG62" s="631"/>
      <c r="AH62" s="631"/>
      <c r="AI62" s="631"/>
      <c r="AJ62" s="333"/>
      <c r="AK62" s="333"/>
      <c r="AL62" s="333"/>
      <c r="AM62" s="333"/>
      <c r="AN62" s="333"/>
      <c r="AO62" s="333"/>
      <c r="AP62" s="333"/>
      <c r="AQ62" s="333"/>
      <c r="AR62" s="333"/>
      <c r="AS62" s="333"/>
      <c r="AT62" s="333"/>
      <c r="AU62" s="333"/>
      <c r="AV62" s="333"/>
      <c r="AW62" s="333"/>
      <c r="AX62" s="333"/>
      <c r="AY62" s="333"/>
      <c r="AZ62" s="333"/>
      <c r="BA62" s="333"/>
      <c r="BB62" s="333"/>
      <c r="BC62" s="333"/>
      <c r="BD62" s="333"/>
      <c r="BE62" s="333"/>
      <c r="BF62" s="333"/>
      <c r="BG62" s="333"/>
      <c r="BH62" s="333"/>
      <c r="BI62" s="333"/>
      <c r="BJ62" s="333"/>
      <c r="BK62" s="333"/>
      <c r="BL62" s="333"/>
      <c r="BM62" s="333"/>
      <c r="BN62" s="333"/>
      <c r="BO62" s="333"/>
      <c r="BP62" s="593"/>
      <c r="BQ62" s="593"/>
      <c r="BR62" s="593"/>
      <c r="BS62" s="593"/>
      <c r="BT62" s="593"/>
      <c r="BU62" s="593"/>
      <c r="BV62" s="593"/>
      <c r="BW62" s="593"/>
      <c r="BX62" s="593"/>
      <c r="BY62" s="593"/>
      <c r="BZ62" s="593"/>
      <c r="CA62" s="593"/>
      <c r="CB62" s="593"/>
      <c r="CC62" s="593"/>
      <c r="CD62" s="593"/>
      <c r="CE62" s="593"/>
      <c r="CF62" s="593"/>
      <c r="CG62" s="593"/>
      <c r="CH62" s="593"/>
      <c r="CI62" s="593"/>
      <c r="CJ62" s="593"/>
      <c r="CK62" s="593"/>
      <c r="CL62" s="593"/>
      <c r="CM62" s="593"/>
      <c r="CN62" s="593"/>
      <c r="CO62" s="593"/>
      <c r="CP62" s="593"/>
      <c r="CQ62" s="593"/>
      <c r="CR62" s="593"/>
      <c r="CS62" s="593"/>
      <c r="CT62" s="593"/>
      <c r="CU62" s="593"/>
      <c r="CV62" s="593"/>
      <c r="CW62" s="593"/>
      <c r="CX62" s="593"/>
      <c r="CY62" s="593"/>
      <c r="CZ62" s="593"/>
      <c r="DA62" s="593"/>
      <c r="DB62" s="593"/>
      <c r="DC62" s="593"/>
      <c r="DD62" s="593"/>
      <c r="DE62" s="333"/>
      <c r="DF62" s="593"/>
      <c r="DG62" s="593"/>
      <c r="DH62" s="593"/>
      <c r="DI62" s="593"/>
      <c r="DJ62" s="593"/>
      <c r="DK62" s="593"/>
      <c r="DL62" s="593"/>
      <c r="DM62" s="593"/>
      <c r="DN62" s="593"/>
      <c r="DO62" s="593"/>
      <c r="DP62" s="593"/>
      <c r="DQ62" s="593"/>
      <c r="DR62" s="593"/>
      <c r="DS62" s="593"/>
      <c r="DT62" s="593"/>
      <c r="DU62" s="593"/>
      <c r="DV62" s="593"/>
      <c r="DW62" s="593"/>
      <c r="DX62" s="593"/>
      <c r="DY62" s="593"/>
    </row>
    <row r="63" spans="1:139" ht="25.2" x14ac:dyDescent="0.4">
      <c r="A63" s="538" t="s">
        <v>532</v>
      </c>
      <c r="B63" s="538"/>
      <c r="C63" s="538"/>
      <c r="D63" s="538"/>
      <c r="E63" s="538"/>
      <c r="F63" s="538"/>
      <c r="G63" s="538"/>
      <c r="H63" s="538"/>
      <c r="I63" s="538"/>
      <c r="J63" s="538"/>
      <c r="K63" s="538"/>
      <c r="L63" s="538"/>
      <c r="M63" s="538"/>
      <c r="N63" s="538"/>
      <c r="O63" s="538"/>
      <c r="P63" s="538"/>
      <c r="Q63" s="538"/>
      <c r="R63" s="538"/>
      <c r="S63" s="538"/>
      <c r="T63" s="538"/>
      <c r="U63" s="538"/>
      <c r="V63" s="538"/>
      <c r="W63" s="538"/>
      <c r="X63" s="538"/>
      <c r="Y63" s="538"/>
      <c r="Z63" s="538"/>
      <c r="AA63" s="538"/>
      <c r="AB63" s="538"/>
      <c r="AC63" s="538"/>
      <c r="AD63" s="538"/>
      <c r="AE63" s="538"/>
      <c r="AF63" s="538"/>
      <c r="AG63" s="538"/>
      <c r="AH63" s="538"/>
      <c r="AI63" s="538"/>
      <c r="AJ63" s="538"/>
      <c r="AK63" s="538"/>
      <c r="AL63" s="538"/>
      <c r="AM63" s="538"/>
      <c r="AN63" s="538"/>
      <c r="AO63" s="538"/>
      <c r="AP63" s="538"/>
      <c r="AQ63" s="538"/>
      <c r="AR63" s="538"/>
      <c r="AS63" s="538"/>
      <c r="AT63" s="538"/>
      <c r="AU63" s="538"/>
      <c r="AV63" s="538"/>
      <c r="AW63" s="538"/>
      <c r="AX63" s="538"/>
      <c r="AY63" s="538"/>
      <c r="AZ63" s="538"/>
      <c r="BA63" s="538"/>
      <c r="BB63" s="538"/>
      <c r="BC63" s="538"/>
      <c r="BD63" s="538"/>
      <c r="BE63" s="538"/>
      <c r="BF63" s="538"/>
      <c r="BG63" s="538"/>
      <c r="BH63" s="538"/>
      <c r="BI63" s="538"/>
      <c r="BJ63" s="538"/>
      <c r="BK63" s="538"/>
      <c r="BL63" s="538"/>
      <c r="BM63" s="538"/>
      <c r="BN63" s="538"/>
      <c r="BO63" s="538"/>
      <c r="BP63" s="538"/>
      <c r="BQ63" s="538"/>
      <c r="BR63" s="538"/>
      <c r="BS63" s="538"/>
      <c r="BT63" s="538"/>
      <c r="BU63" s="538"/>
      <c r="BV63" s="538"/>
      <c r="BW63" s="538"/>
      <c r="BX63" s="538"/>
      <c r="BY63" s="538"/>
      <c r="BZ63" s="538"/>
      <c r="CA63" s="538"/>
      <c r="CB63" s="538"/>
      <c r="CC63" s="538"/>
      <c r="CD63" s="538"/>
      <c r="CE63" s="538"/>
      <c r="CF63" s="538"/>
      <c r="CG63" s="538"/>
      <c r="CH63" s="538"/>
      <c r="CI63" s="538"/>
      <c r="CJ63" s="538"/>
      <c r="CK63" s="538"/>
      <c r="CL63" s="538"/>
      <c r="CM63" s="538"/>
      <c r="CN63" s="538"/>
      <c r="CO63" s="538"/>
      <c r="CP63" s="538"/>
      <c r="CQ63" s="538"/>
      <c r="CR63" s="538"/>
      <c r="CS63" s="538"/>
      <c r="CT63" s="538"/>
      <c r="CU63" s="538"/>
      <c r="CV63" s="538"/>
      <c r="CW63" s="538"/>
      <c r="CX63" s="538"/>
      <c r="CY63" s="538"/>
      <c r="CZ63" s="538"/>
      <c r="DA63" s="538"/>
      <c r="DB63" s="538"/>
      <c r="DC63" s="538"/>
      <c r="DD63" s="538"/>
      <c r="DE63" s="538"/>
      <c r="DF63" s="538"/>
      <c r="DG63" s="538"/>
      <c r="DH63" s="538"/>
      <c r="DI63" s="538"/>
      <c r="DJ63" s="538"/>
      <c r="DK63" s="538"/>
      <c r="DL63" s="538"/>
      <c r="DM63" s="538"/>
      <c r="DN63" s="538"/>
      <c r="DO63" s="538"/>
      <c r="DP63" s="538"/>
      <c r="DQ63" s="538"/>
      <c r="DR63" s="538"/>
      <c r="DS63" s="538"/>
      <c r="DT63" s="538"/>
      <c r="DU63" s="538"/>
      <c r="DV63" s="538"/>
      <c r="DW63" s="538"/>
      <c r="DX63" s="538"/>
      <c r="DY63" s="538"/>
    </row>
    <row r="64" spans="1:139" ht="10.050000000000001" customHeight="1" thickBot="1" x14ac:dyDescent="0.45"/>
    <row r="65" spans="1:129" x14ac:dyDescent="0.4">
      <c r="A65" s="619"/>
      <c r="B65" s="620"/>
      <c r="C65" s="620"/>
      <c r="D65" s="620"/>
      <c r="E65" s="620"/>
      <c r="F65" s="620"/>
      <c r="G65" s="620"/>
      <c r="H65" s="620"/>
      <c r="I65" s="620"/>
      <c r="J65" s="620"/>
      <c r="K65" s="620"/>
      <c r="L65" s="620"/>
      <c r="M65" s="620"/>
      <c r="N65" s="620"/>
      <c r="O65" s="620"/>
      <c r="P65" s="620"/>
      <c r="Q65" s="620"/>
      <c r="R65" s="620"/>
      <c r="S65" s="620"/>
      <c r="T65" s="620"/>
      <c r="U65" s="620"/>
      <c r="V65" s="620"/>
      <c r="W65" s="620"/>
      <c r="X65" s="620"/>
      <c r="Y65" s="620"/>
      <c r="Z65" s="620"/>
      <c r="AA65" s="620"/>
      <c r="AB65" s="620"/>
      <c r="AC65" s="620"/>
      <c r="AD65" s="620"/>
      <c r="AE65" s="620"/>
      <c r="AF65" s="620"/>
      <c r="AG65" s="620"/>
      <c r="AH65" s="620"/>
      <c r="AI65" s="620"/>
      <c r="AJ65" s="620"/>
      <c r="AK65" s="620"/>
      <c r="AL65" s="620"/>
      <c r="AM65" s="620"/>
      <c r="AN65" s="620"/>
      <c r="AO65" s="620"/>
      <c r="AP65" s="620"/>
      <c r="AQ65" s="620"/>
      <c r="AR65" s="620"/>
      <c r="AS65" s="620"/>
      <c r="AT65" s="620"/>
      <c r="AU65" s="620"/>
      <c r="AV65" s="620"/>
      <c r="AW65" s="620"/>
      <c r="AX65" s="620"/>
      <c r="AY65" s="620"/>
      <c r="AZ65" s="620"/>
      <c r="BA65" s="620"/>
      <c r="BB65" s="620"/>
      <c r="BC65" s="620"/>
      <c r="BD65" s="620"/>
      <c r="BE65" s="620"/>
      <c r="BF65" s="620"/>
      <c r="BG65" s="620"/>
      <c r="BH65" s="620"/>
      <c r="BI65" s="620"/>
      <c r="BJ65" s="620"/>
      <c r="BK65" s="620"/>
      <c r="BL65" s="620"/>
      <c r="BM65" s="620"/>
      <c r="BN65" s="620"/>
      <c r="BO65" s="620"/>
      <c r="BP65" s="620"/>
      <c r="BQ65" s="620"/>
      <c r="BR65" s="620"/>
      <c r="BS65" s="620"/>
      <c r="BT65" s="620"/>
      <c r="BU65" s="620"/>
      <c r="BV65" s="620"/>
      <c r="BW65" s="620"/>
      <c r="BX65" s="620"/>
      <c r="BY65" s="620"/>
      <c r="BZ65" s="620"/>
      <c r="CA65" s="620"/>
      <c r="CB65" s="620"/>
      <c r="CC65" s="620"/>
      <c r="CD65" s="620"/>
      <c r="CE65" s="620"/>
      <c r="CF65" s="620"/>
      <c r="CG65" s="620"/>
      <c r="CH65" s="620"/>
      <c r="CI65" s="620"/>
      <c r="CJ65" s="620"/>
      <c r="CK65" s="620"/>
      <c r="CL65" s="620"/>
      <c r="CM65" s="620"/>
      <c r="CN65" s="620"/>
      <c r="CO65" s="620"/>
      <c r="CP65" s="620"/>
      <c r="CQ65" s="620"/>
      <c r="CR65" s="620"/>
      <c r="CS65" s="620"/>
      <c r="CT65" s="620"/>
      <c r="CU65" s="620"/>
      <c r="CV65" s="620"/>
      <c r="CW65" s="620"/>
      <c r="CX65" s="620"/>
      <c r="CY65" s="620"/>
      <c r="CZ65" s="620"/>
      <c r="DA65" s="620"/>
      <c r="DB65" s="620"/>
      <c r="DC65" s="620"/>
      <c r="DD65" s="620"/>
      <c r="DE65" s="620"/>
      <c r="DF65" s="620"/>
      <c r="DG65" s="620"/>
      <c r="DH65" s="620"/>
      <c r="DI65" s="620"/>
      <c r="DJ65" s="620"/>
      <c r="DK65" s="620"/>
      <c r="DL65" s="620"/>
      <c r="DM65" s="620"/>
      <c r="DN65" s="620"/>
      <c r="DO65" s="620"/>
      <c r="DP65" s="620"/>
      <c r="DQ65" s="620"/>
      <c r="DR65" s="620"/>
      <c r="DS65" s="620"/>
      <c r="DT65" s="620"/>
      <c r="DU65" s="620"/>
      <c r="DV65" s="620"/>
      <c r="DW65" s="620"/>
      <c r="DX65" s="620"/>
      <c r="DY65" s="621"/>
    </row>
    <row r="66" spans="1:129" x14ac:dyDescent="0.4">
      <c r="A66" s="622"/>
      <c r="B66" s="623"/>
      <c r="C66" s="623"/>
      <c r="D66" s="623"/>
      <c r="E66" s="623"/>
      <c r="F66" s="623"/>
      <c r="G66" s="623"/>
      <c r="H66" s="623"/>
      <c r="I66" s="623"/>
      <c r="J66" s="623"/>
      <c r="K66" s="623"/>
      <c r="L66" s="623"/>
      <c r="M66" s="623"/>
      <c r="N66" s="623"/>
      <c r="O66" s="623"/>
      <c r="P66" s="623"/>
      <c r="Q66" s="623"/>
      <c r="R66" s="623"/>
      <c r="S66" s="623"/>
      <c r="T66" s="623"/>
      <c r="U66" s="623"/>
      <c r="V66" s="623"/>
      <c r="W66" s="623"/>
      <c r="X66" s="623"/>
      <c r="Y66" s="623"/>
      <c r="Z66" s="623"/>
      <c r="AA66" s="623"/>
      <c r="AB66" s="623"/>
      <c r="AC66" s="623"/>
      <c r="AD66" s="623"/>
      <c r="AE66" s="623"/>
      <c r="AF66" s="623"/>
      <c r="AG66" s="623"/>
      <c r="AH66" s="623"/>
      <c r="AI66" s="623"/>
      <c r="AJ66" s="623"/>
      <c r="AK66" s="623"/>
      <c r="AL66" s="623"/>
      <c r="AM66" s="623"/>
      <c r="AN66" s="623"/>
      <c r="AO66" s="623"/>
      <c r="AP66" s="623"/>
      <c r="AQ66" s="623"/>
      <c r="AR66" s="623"/>
      <c r="AS66" s="623"/>
      <c r="AT66" s="623"/>
      <c r="AU66" s="623"/>
      <c r="AV66" s="623"/>
      <c r="AW66" s="623"/>
      <c r="AX66" s="623"/>
      <c r="AY66" s="623"/>
      <c r="AZ66" s="623"/>
      <c r="BA66" s="623"/>
      <c r="BB66" s="623"/>
      <c r="BC66" s="623"/>
      <c r="BD66" s="623"/>
      <c r="BE66" s="623"/>
      <c r="BF66" s="623"/>
      <c r="BG66" s="623"/>
      <c r="BH66" s="623"/>
      <c r="BI66" s="623"/>
      <c r="BJ66" s="623"/>
      <c r="BK66" s="623"/>
      <c r="BL66" s="623"/>
      <c r="BM66" s="623"/>
      <c r="BN66" s="623"/>
      <c r="BO66" s="623"/>
      <c r="BP66" s="623"/>
      <c r="BQ66" s="623"/>
      <c r="BR66" s="623"/>
      <c r="BS66" s="623"/>
      <c r="BT66" s="623"/>
      <c r="BU66" s="623"/>
      <c r="BV66" s="623"/>
      <c r="BW66" s="623"/>
      <c r="BX66" s="623"/>
      <c r="BY66" s="623"/>
      <c r="BZ66" s="623"/>
      <c r="CA66" s="623"/>
      <c r="CB66" s="623"/>
      <c r="CC66" s="623"/>
      <c r="CD66" s="623"/>
      <c r="CE66" s="623"/>
      <c r="CF66" s="623"/>
      <c r="CG66" s="623"/>
      <c r="CH66" s="623"/>
      <c r="CI66" s="623"/>
      <c r="CJ66" s="623"/>
      <c r="CK66" s="623"/>
      <c r="CL66" s="623"/>
      <c r="CM66" s="623"/>
      <c r="CN66" s="623"/>
      <c r="CO66" s="623"/>
      <c r="CP66" s="623"/>
      <c r="CQ66" s="623"/>
      <c r="CR66" s="623"/>
      <c r="CS66" s="623"/>
      <c r="CT66" s="623"/>
      <c r="CU66" s="623"/>
      <c r="CV66" s="623"/>
      <c r="CW66" s="623"/>
      <c r="CX66" s="623"/>
      <c r="CY66" s="623"/>
      <c r="CZ66" s="623"/>
      <c r="DA66" s="623"/>
      <c r="DB66" s="623"/>
      <c r="DC66" s="623"/>
      <c r="DD66" s="623"/>
      <c r="DE66" s="623"/>
      <c r="DF66" s="623"/>
      <c r="DG66" s="623"/>
      <c r="DH66" s="623"/>
      <c r="DI66" s="623"/>
      <c r="DJ66" s="623"/>
      <c r="DK66" s="623"/>
      <c r="DL66" s="623"/>
      <c r="DM66" s="623"/>
      <c r="DN66" s="623"/>
      <c r="DO66" s="623"/>
      <c r="DP66" s="623"/>
      <c r="DQ66" s="623"/>
      <c r="DR66" s="623"/>
      <c r="DS66" s="623"/>
      <c r="DT66" s="623"/>
      <c r="DU66" s="623"/>
      <c r="DV66" s="623"/>
      <c r="DW66" s="623"/>
      <c r="DX66" s="623"/>
      <c r="DY66" s="624"/>
    </row>
    <row r="67" spans="1:129" ht="18" thickBot="1" x14ac:dyDescent="0.45">
      <c r="A67" s="625"/>
      <c r="B67" s="626"/>
      <c r="C67" s="626"/>
      <c r="D67" s="626"/>
      <c r="E67" s="626"/>
      <c r="F67" s="626"/>
      <c r="G67" s="626"/>
      <c r="H67" s="626"/>
      <c r="I67" s="626"/>
      <c r="J67" s="626"/>
      <c r="K67" s="626"/>
      <c r="L67" s="626"/>
      <c r="M67" s="626"/>
      <c r="N67" s="626"/>
      <c r="O67" s="626"/>
      <c r="P67" s="626"/>
      <c r="Q67" s="626"/>
      <c r="R67" s="626"/>
      <c r="S67" s="626"/>
      <c r="T67" s="626"/>
      <c r="U67" s="626"/>
      <c r="V67" s="626"/>
      <c r="W67" s="626"/>
      <c r="X67" s="626"/>
      <c r="Y67" s="626"/>
      <c r="Z67" s="626"/>
      <c r="AA67" s="626"/>
      <c r="AB67" s="626"/>
      <c r="AC67" s="626"/>
      <c r="AD67" s="626"/>
      <c r="AE67" s="626"/>
      <c r="AF67" s="626"/>
      <c r="AG67" s="626"/>
      <c r="AH67" s="626"/>
      <c r="AI67" s="626"/>
      <c r="AJ67" s="626"/>
      <c r="AK67" s="626"/>
      <c r="AL67" s="626"/>
      <c r="AM67" s="626"/>
      <c r="AN67" s="626"/>
      <c r="AO67" s="626"/>
      <c r="AP67" s="626"/>
      <c r="AQ67" s="626"/>
      <c r="AR67" s="626"/>
      <c r="AS67" s="626"/>
      <c r="AT67" s="626"/>
      <c r="AU67" s="626"/>
      <c r="AV67" s="626"/>
      <c r="AW67" s="626"/>
      <c r="AX67" s="626"/>
      <c r="AY67" s="626"/>
      <c r="AZ67" s="626"/>
      <c r="BA67" s="626"/>
      <c r="BB67" s="626"/>
      <c r="BC67" s="626"/>
      <c r="BD67" s="626"/>
      <c r="BE67" s="626"/>
      <c r="BF67" s="626"/>
      <c r="BG67" s="626"/>
      <c r="BH67" s="626"/>
      <c r="BI67" s="626"/>
      <c r="BJ67" s="626"/>
      <c r="BK67" s="626"/>
      <c r="BL67" s="626"/>
      <c r="BM67" s="626"/>
      <c r="BN67" s="626"/>
      <c r="BO67" s="626"/>
      <c r="BP67" s="626"/>
      <c r="BQ67" s="626"/>
      <c r="BR67" s="626"/>
      <c r="BS67" s="626"/>
      <c r="BT67" s="626"/>
      <c r="BU67" s="626"/>
      <c r="BV67" s="626"/>
      <c r="BW67" s="626"/>
      <c r="BX67" s="626"/>
      <c r="BY67" s="626"/>
      <c r="BZ67" s="626"/>
      <c r="CA67" s="626"/>
      <c r="CB67" s="626"/>
      <c r="CC67" s="626"/>
      <c r="CD67" s="626"/>
      <c r="CE67" s="626"/>
      <c r="CF67" s="626"/>
      <c r="CG67" s="626"/>
      <c r="CH67" s="626"/>
      <c r="CI67" s="626"/>
      <c r="CJ67" s="626"/>
      <c r="CK67" s="626"/>
      <c r="CL67" s="626"/>
      <c r="CM67" s="626"/>
      <c r="CN67" s="626"/>
      <c r="CO67" s="626"/>
      <c r="CP67" s="626"/>
      <c r="CQ67" s="626"/>
      <c r="CR67" s="626"/>
      <c r="CS67" s="626"/>
      <c r="CT67" s="626"/>
      <c r="CU67" s="626"/>
      <c r="CV67" s="626"/>
      <c r="CW67" s="626"/>
      <c r="CX67" s="626"/>
      <c r="CY67" s="626"/>
      <c r="CZ67" s="626"/>
      <c r="DA67" s="626"/>
      <c r="DB67" s="626"/>
      <c r="DC67" s="626"/>
      <c r="DD67" s="626"/>
      <c r="DE67" s="626"/>
      <c r="DF67" s="626"/>
      <c r="DG67" s="626"/>
      <c r="DH67" s="626"/>
      <c r="DI67" s="626"/>
      <c r="DJ67" s="626"/>
      <c r="DK67" s="626"/>
      <c r="DL67" s="626"/>
      <c r="DM67" s="626"/>
      <c r="DN67" s="626"/>
      <c r="DO67" s="626"/>
      <c r="DP67" s="626"/>
      <c r="DQ67" s="626"/>
      <c r="DR67" s="626"/>
      <c r="DS67" s="626"/>
      <c r="DT67" s="626"/>
      <c r="DU67" s="626"/>
      <c r="DV67" s="626"/>
      <c r="DW67" s="626"/>
      <c r="DX67" s="626"/>
      <c r="DY67" s="627"/>
    </row>
  </sheetData>
  <mergeCells count="506">
    <mergeCell ref="BP26:CE27"/>
    <mergeCell ref="CF26:CS27"/>
    <mergeCell ref="CT26:DG27"/>
    <mergeCell ref="AY28:BL28"/>
    <mergeCell ref="BP28:CE29"/>
    <mergeCell ref="CF28:CS29"/>
    <mergeCell ref="CT28:DG29"/>
    <mergeCell ref="Z23:AK23"/>
    <mergeCell ref="AL23:AX23"/>
    <mergeCell ref="AY23:BL23"/>
    <mergeCell ref="Z25:AK25"/>
    <mergeCell ref="AL25:AX25"/>
    <mergeCell ref="AY25:BL25"/>
    <mergeCell ref="AL28:AX28"/>
    <mergeCell ref="A26:D26"/>
    <mergeCell ref="E26:O26"/>
    <mergeCell ref="P26:Y26"/>
    <mergeCell ref="Z26:AK26"/>
    <mergeCell ref="AL26:AX26"/>
    <mergeCell ref="DH24:DM25"/>
    <mergeCell ref="DN24:DS25"/>
    <mergeCell ref="DT24:DY25"/>
    <mergeCell ref="DH26:DM27"/>
    <mergeCell ref="DN26:DS27"/>
    <mergeCell ref="DT26:DY27"/>
    <mergeCell ref="AY26:BL26"/>
    <mergeCell ref="A27:D27"/>
    <mergeCell ref="E27:O27"/>
    <mergeCell ref="P27:Y27"/>
    <mergeCell ref="Z27:AK27"/>
    <mergeCell ref="AL27:AX27"/>
    <mergeCell ref="AY27:BL27"/>
    <mergeCell ref="BP24:CE25"/>
    <mergeCell ref="CF24:CS25"/>
    <mergeCell ref="CT24:DG25"/>
    <mergeCell ref="A25:D25"/>
    <mergeCell ref="E25:O25"/>
    <mergeCell ref="P25:Y25"/>
    <mergeCell ref="BY6:CC6"/>
    <mergeCell ref="CD6:CK6"/>
    <mergeCell ref="CL6:CV6"/>
    <mergeCell ref="CW6:DI6"/>
    <mergeCell ref="DJ6:DT6"/>
    <mergeCell ref="DU6:DY6"/>
    <mergeCell ref="AU1:CH1"/>
    <mergeCell ref="DG2:DY2"/>
    <mergeCell ref="A4:DY4"/>
    <mergeCell ref="A6:I6"/>
    <mergeCell ref="J6:AE6"/>
    <mergeCell ref="AF6:AP6"/>
    <mergeCell ref="AQ6:AZ6"/>
    <mergeCell ref="BA6:BD6"/>
    <mergeCell ref="BE6:BO6"/>
    <mergeCell ref="BP6:BX6"/>
    <mergeCell ref="CD7:CK7"/>
    <mergeCell ref="CL7:CS7"/>
    <mergeCell ref="CT7:CV7"/>
    <mergeCell ref="CW7:DI7"/>
    <mergeCell ref="DJ7:DT7"/>
    <mergeCell ref="DU7:DY7"/>
    <mergeCell ref="A7:I7"/>
    <mergeCell ref="J7:AE7"/>
    <mergeCell ref="AF7:AP7"/>
    <mergeCell ref="AQ7:BD7"/>
    <mergeCell ref="BE7:BO7"/>
    <mergeCell ref="BP7:CC7"/>
    <mergeCell ref="CD11:DY11"/>
    <mergeCell ref="CD12:CL12"/>
    <mergeCell ref="CM12:CV12"/>
    <mergeCell ref="CW12:DF12"/>
    <mergeCell ref="DG12:DP12"/>
    <mergeCell ref="DQ12:DY12"/>
    <mergeCell ref="A9:BL9"/>
    <mergeCell ref="BP9:DY9"/>
    <mergeCell ref="A11:D12"/>
    <mergeCell ref="E11:O12"/>
    <mergeCell ref="P11:Y12"/>
    <mergeCell ref="Z11:AK12"/>
    <mergeCell ref="AL11:AX12"/>
    <mergeCell ref="AY11:BL12"/>
    <mergeCell ref="BP11:BU12"/>
    <mergeCell ref="BV11:CC12"/>
    <mergeCell ref="DQ13:DY13"/>
    <mergeCell ref="A14:D14"/>
    <mergeCell ref="E14:O14"/>
    <mergeCell ref="P14:Y14"/>
    <mergeCell ref="Z14:AK14"/>
    <mergeCell ref="AL14:AX14"/>
    <mergeCell ref="AY14:BL14"/>
    <mergeCell ref="BP14:BU14"/>
    <mergeCell ref="BV14:CC14"/>
    <mergeCell ref="CD14:CL14"/>
    <mergeCell ref="BP13:BU13"/>
    <mergeCell ref="BV13:CC13"/>
    <mergeCell ref="CD13:CL13"/>
    <mergeCell ref="CM13:CV13"/>
    <mergeCell ref="CW13:DF13"/>
    <mergeCell ref="DG13:DP13"/>
    <mergeCell ref="A13:D13"/>
    <mergeCell ref="E13:O13"/>
    <mergeCell ref="P13:Y13"/>
    <mergeCell ref="Z13:AK13"/>
    <mergeCell ref="AL13:AX13"/>
    <mergeCell ref="AY13:BL13"/>
    <mergeCell ref="CM14:CV14"/>
    <mergeCell ref="CW14:DF14"/>
    <mergeCell ref="BV16:CC16"/>
    <mergeCell ref="CD16:CL16"/>
    <mergeCell ref="DG14:DP14"/>
    <mergeCell ref="DQ14:DY14"/>
    <mergeCell ref="A15:D15"/>
    <mergeCell ref="E15:O15"/>
    <mergeCell ref="P15:Y15"/>
    <mergeCell ref="Z15:AK15"/>
    <mergeCell ref="AL15:AX15"/>
    <mergeCell ref="AY15:BL15"/>
    <mergeCell ref="DQ15:DY15"/>
    <mergeCell ref="BP15:BU15"/>
    <mergeCell ref="BV15:CC15"/>
    <mergeCell ref="CD15:CL15"/>
    <mergeCell ref="CM15:CV15"/>
    <mergeCell ref="CW15:DF15"/>
    <mergeCell ref="DG15:DP15"/>
    <mergeCell ref="CM16:CV16"/>
    <mergeCell ref="CW16:DF16"/>
    <mergeCell ref="DG16:DP16"/>
    <mergeCell ref="DQ16:DY16"/>
    <mergeCell ref="A16:D16"/>
    <mergeCell ref="E16:O16"/>
    <mergeCell ref="P16:Y16"/>
    <mergeCell ref="E17:O17"/>
    <mergeCell ref="P17:Y17"/>
    <mergeCell ref="Z17:AK17"/>
    <mergeCell ref="AL17:AX17"/>
    <mergeCell ref="AY17:BL17"/>
    <mergeCell ref="DQ17:DY17"/>
    <mergeCell ref="BP17:BU17"/>
    <mergeCell ref="BV17:CC17"/>
    <mergeCell ref="CD17:CL17"/>
    <mergeCell ref="CM17:CV17"/>
    <mergeCell ref="CW17:DF17"/>
    <mergeCell ref="DG17:DP17"/>
    <mergeCell ref="Z16:AK16"/>
    <mergeCell ref="AL16:AX16"/>
    <mergeCell ref="AY16:BL16"/>
    <mergeCell ref="BP16:BU16"/>
    <mergeCell ref="CM18:CV18"/>
    <mergeCell ref="CW18:DF18"/>
    <mergeCell ref="DG18:DP18"/>
    <mergeCell ref="DQ18:DY18"/>
    <mergeCell ref="A19:D19"/>
    <mergeCell ref="E19:O19"/>
    <mergeCell ref="P19:Y19"/>
    <mergeCell ref="Z19:AK19"/>
    <mergeCell ref="AL19:AX19"/>
    <mergeCell ref="AY19:BL19"/>
    <mergeCell ref="A18:D18"/>
    <mergeCell ref="E18:O18"/>
    <mergeCell ref="P18:Y18"/>
    <mergeCell ref="Z18:AK18"/>
    <mergeCell ref="AL18:AX18"/>
    <mergeCell ref="AY18:BL18"/>
    <mergeCell ref="BP18:BU18"/>
    <mergeCell ref="BV18:CC18"/>
    <mergeCell ref="CD18:CL18"/>
    <mergeCell ref="A17:D17"/>
    <mergeCell ref="DH22:DY22"/>
    <mergeCell ref="DH23:DM23"/>
    <mergeCell ref="DN23:DS23"/>
    <mergeCell ref="DT23:DY23"/>
    <mergeCell ref="BP20:DY20"/>
    <mergeCell ref="A21:D21"/>
    <mergeCell ref="E21:O21"/>
    <mergeCell ref="P21:Y21"/>
    <mergeCell ref="Z21:AK21"/>
    <mergeCell ref="AL21:AX21"/>
    <mergeCell ref="AY21:BL21"/>
    <mergeCell ref="A20:D20"/>
    <mergeCell ref="E20:O20"/>
    <mergeCell ref="P20:Y20"/>
    <mergeCell ref="Z20:AK20"/>
    <mergeCell ref="AL20:AX20"/>
    <mergeCell ref="AY20:BL20"/>
    <mergeCell ref="BP22:CE22"/>
    <mergeCell ref="BP23:CE23"/>
    <mergeCell ref="A24:D24"/>
    <mergeCell ref="E24:O24"/>
    <mergeCell ref="P24:Y24"/>
    <mergeCell ref="Z24:AK24"/>
    <mergeCell ref="AL24:AX24"/>
    <mergeCell ref="AY24:BL24"/>
    <mergeCell ref="CF22:CS23"/>
    <mergeCell ref="CT22:DG23"/>
    <mergeCell ref="A23:D23"/>
    <mergeCell ref="E23:O23"/>
    <mergeCell ref="P23:Y23"/>
    <mergeCell ref="A22:D22"/>
    <mergeCell ref="E22:O22"/>
    <mergeCell ref="P22:Y22"/>
    <mergeCell ref="Z22:AK22"/>
    <mergeCell ref="AL22:AX22"/>
    <mergeCell ref="AY22:BL22"/>
    <mergeCell ref="AJ33:AS34"/>
    <mergeCell ref="AT33:BC34"/>
    <mergeCell ref="BD33:BM34"/>
    <mergeCell ref="BN33:BW34"/>
    <mergeCell ref="BX33:CG34"/>
    <mergeCell ref="CH33:CQ34"/>
    <mergeCell ref="CR33:DC34"/>
    <mergeCell ref="DD33:DY34"/>
    <mergeCell ref="A31:DY31"/>
    <mergeCell ref="A33:D34"/>
    <mergeCell ref="E33:J34"/>
    <mergeCell ref="K33:Q34"/>
    <mergeCell ref="R33:Z34"/>
    <mergeCell ref="AA33:AI34"/>
    <mergeCell ref="DH28:DM29"/>
    <mergeCell ref="DN28:DS29"/>
    <mergeCell ref="DT28:DY29"/>
    <mergeCell ref="A29:Y29"/>
    <mergeCell ref="Z29:AK29"/>
    <mergeCell ref="AL29:AX29"/>
    <mergeCell ref="AY29:BL29"/>
    <mergeCell ref="A28:D28"/>
    <mergeCell ref="E28:O28"/>
    <mergeCell ref="P28:Y28"/>
    <mergeCell ref="Z28:AD28"/>
    <mergeCell ref="AE28:AK28"/>
    <mergeCell ref="A35:D35"/>
    <mergeCell ref="E35:J35"/>
    <mergeCell ref="K35:Q35"/>
    <mergeCell ref="R35:Z35"/>
    <mergeCell ref="AA35:AI35"/>
    <mergeCell ref="AJ35:AS35"/>
    <mergeCell ref="DD35:DY35"/>
    <mergeCell ref="AT35:BC35"/>
    <mergeCell ref="BD35:BM35"/>
    <mergeCell ref="BN35:BW35"/>
    <mergeCell ref="BX35:CG35"/>
    <mergeCell ref="CH35:CQ35"/>
    <mergeCell ref="CR35:DC35"/>
    <mergeCell ref="A36:D36"/>
    <mergeCell ref="E36:J36"/>
    <mergeCell ref="K36:Q36"/>
    <mergeCell ref="R36:Z36"/>
    <mergeCell ref="AA36:AI36"/>
    <mergeCell ref="AJ36:AS36"/>
    <mergeCell ref="AT36:BC36"/>
    <mergeCell ref="BD36:BM36"/>
    <mergeCell ref="BN36:BW36"/>
    <mergeCell ref="BX36:CG36"/>
    <mergeCell ref="CH36:CQ36"/>
    <mergeCell ref="BD38:BM38"/>
    <mergeCell ref="BN38:BW38"/>
    <mergeCell ref="CR36:DC36"/>
    <mergeCell ref="DD36:DY36"/>
    <mergeCell ref="A37:D37"/>
    <mergeCell ref="E37:J37"/>
    <mergeCell ref="K37:Q37"/>
    <mergeCell ref="R37:Z37"/>
    <mergeCell ref="AA37:AI37"/>
    <mergeCell ref="AJ37:AS37"/>
    <mergeCell ref="DD37:DY37"/>
    <mergeCell ref="AT37:BC37"/>
    <mergeCell ref="BD37:BM37"/>
    <mergeCell ref="BN37:BW37"/>
    <mergeCell ref="BX37:CG37"/>
    <mergeCell ref="CH37:CQ37"/>
    <mergeCell ref="CR37:DC37"/>
    <mergeCell ref="BX38:CG38"/>
    <mergeCell ref="CH38:CQ38"/>
    <mergeCell ref="CR38:DC38"/>
    <mergeCell ref="DD38:DY38"/>
    <mergeCell ref="A38:D38"/>
    <mergeCell ref="E38:J38"/>
    <mergeCell ref="K38:Q38"/>
    <mergeCell ref="A39:D39"/>
    <mergeCell ref="E39:J39"/>
    <mergeCell ref="K39:Q39"/>
    <mergeCell ref="R39:Z39"/>
    <mergeCell ref="AA39:AI39"/>
    <mergeCell ref="AJ39:AS39"/>
    <mergeCell ref="DD39:DY39"/>
    <mergeCell ref="AT39:BC39"/>
    <mergeCell ref="BD39:BM39"/>
    <mergeCell ref="BN39:BW39"/>
    <mergeCell ref="BX39:CG39"/>
    <mergeCell ref="CH39:CQ39"/>
    <mergeCell ref="CR39:DC39"/>
    <mergeCell ref="R38:Z38"/>
    <mergeCell ref="AA38:AI38"/>
    <mergeCell ref="AJ38:AS38"/>
    <mergeCell ref="AT38:BC38"/>
    <mergeCell ref="DD40:DY40"/>
    <mergeCell ref="A41:D41"/>
    <mergeCell ref="E41:J41"/>
    <mergeCell ref="K41:Q41"/>
    <mergeCell ref="R41:Z41"/>
    <mergeCell ref="AA41:AI41"/>
    <mergeCell ref="AJ41:AS41"/>
    <mergeCell ref="DD41:DY41"/>
    <mergeCell ref="AT41:BC41"/>
    <mergeCell ref="BD41:BM41"/>
    <mergeCell ref="BN41:BW41"/>
    <mergeCell ref="BX41:CG41"/>
    <mergeCell ref="CH41:CQ41"/>
    <mergeCell ref="CR41:DC41"/>
    <mergeCell ref="A40:D40"/>
    <mergeCell ref="E40:J40"/>
    <mergeCell ref="K40:Q40"/>
    <mergeCell ref="R40:Z40"/>
    <mergeCell ref="AA40:AI40"/>
    <mergeCell ref="AJ40:AS40"/>
    <mergeCell ref="BX40:CG40"/>
    <mergeCell ref="CH40:CQ40"/>
    <mergeCell ref="CR40:DC40"/>
    <mergeCell ref="AJ44:AS44"/>
    <mergeCell ref="AT44:BC44"/>
    <mergeCell ref="BD44:BM44"/>
    <mergeCell ref="BN44:BW44"/>
    <mergeCell ref="BX42:CG42"/>
    <mergeCell ref="CH42:CQ42"/>
    <mergeCell ref="CR42:DC42"/>
    <mergeCell ref="AT40:BC40"/>
    <mergeCell ref="BD40:BM40"/>
    <mergeCell ref="BN40:BW40"/>
    <mergeCell ref="AJ42:AS42"/>
    <mergeCell ref="AT42:BC42"/>
    <mergeCell ref="BD42:BM42"/>
    <mergeCell ref="BN42:BW42"/>
    <mergeCell ref="DD42:DY42"/>
    <mergeCell ref="A43:D43"/>
    <mergeCell ref="E43:J43"/>
    <mergeCell ref="K43:Q43"/>
    <mergeCell ref="R43:Z43"/>
    <mergeCell ref="AA43:AI43"/>
    <mergeCell ref="AJ43:AS43"/>
    <mergeCell ref="DD43:DY43"/>
    <mergeCell ref="AT43:BC43"/>
    <mergeCell ref="BD43:BM43"/>
    <mergeCell ref="BN43:BW43"/>
    <mergeCell ref="BX43:CG43"/>
    <mergeCell ref="CH43:CQ43"/>
    <mergeCell ref="CR43:DC43"/>
    <mergeCell ref="A42:D42"/>
    <mergeCell ref="E42:J42"/>
    <mergeCell ref="K42:Q42"/>
    <mergeCell ref="R42:Z42"/>
    <mergeCell ref="AA42:AI42"/>
    <mergeCell ref="BD46:BM46"/>
    <mergeCell ref="BN46:BW46"/>
    <mergeCell ref="BX44:CG44"/>
    <mergeCell ref="CH44:CQ44"/>
    <mergeCell ref="CR44:DC44"/>
    <mergeCell ref="DD44:DY44"/>
    <mergeCell ref="A45:D45"/>
    <mergeCell ref="E45:J45"/>
    <mergeCell ref="K45:Q45"/>
    <mergeCell ref="R45:Z45"/>
    <mergeCell ref="AA45:AI45"/>
    <mergeCell ref="AJ45:AS45"/>
    <mergeCell ref="DD45:DY45"/>
    <mergeCell ref="AT45:BC45"/>
    <mergeCell ref="BD45:BM45"/>
    <mergeCell ref="BN45:BW45"/>
    <mergeCell ref="BX45:CG45"/>
    <mergeCell ref="CH45:CQ45"/>
    <mergeCell ref="CR45:DC45"/>
    <mergeCell ref="A44:D44"/>
    <mergeCell ref="E44:J44"/>
    <mergeCell ref="K44:Q44"/>
    <mergeCell ref="R44:Z44"/>
    <mergeCell ref="AA44:AI44"/>
    <mergeCell ref="BX46:CG46"/>
    <mergeCell ref="CH46:CQ46"/>
    <mergeCell ref="CR46:DC46"/>
    <mergeCell ref="DD46:DY46"/>
    <mergeCell ref="A47:D47"/>
    <mergeCell ref="E47:J47"/>
    <mergeCell ref="K47:Q47"/>
    <mergeCell ref="R47:Z47"/>
    <mergeCell ref="AA47:AI47"/>
    <mergeCell ref="AJ47:AS47"/>
    <mergeCell ref="DD47:DY47"/>
    <mergeCell ref="AT47:BC47"/>
    <mergeCell ref="BD47:BM47"/>
    <mergeCell ref="BN47:BW47"/>
    <mergeCell ref="BX47:CG47"/>
    <mergeCell ref="CH47:CQ47"/>
    <mergeCell ref="CR47:DC47"/>
    <mergeCell ref="A46:D46"/>
    <mergeCell ref="E46:J46"/>
    <mergeCell ref="K46:Q46"/>
    <mergeCell ref="R46:Z46"/>
    <mergeCell ref="AA46:AI46"/>
    <mergeCell ref="AJ46:AS46"/>
    <mergeCell ref="AT46:BC46"/>
    <mergeCell ref="BX48:CG48"/>
    <mergeCell ref="CH48:CQ48"/>
    <mergeCell ref="CR48:DC48"/>
    <mergeCell ref="DD48:DY48"/>
    <mergeCell ref="A49:D49"/>
    <mergeCell ref="E49:J49"/>
    <mergeCell ref="K49:Q49"/>
    <mergeCell ref="R49:Z49"/>
    <mergeCell ref="AA49:AI49"/>
    <mergeCell ref="AJ49:AS49"/>
    <mergeCell ref="AT49:BC49"/>
    <mergeCell ref="BD49:BM49"/>
    <mergeCell ref="BN49:BW49"/>
    <mergeCell ref="A48:D48"/>
    <mergeCell ref="E48:J48"/>
    <mergeCell ref="K48:Q48"/>
    <mergeCell ref="R48:Z48"/>
    <mergeCell ref="AA48:AI48"/>
    <mergeCell ref="AJ48:AS48"/>
    <mergeCell ref="AT48:BC48"/>
    <mergeCell ref="BD48:BM48"/>
    <mergeCell ref="BN48:BW48"/>
    <mergeCell ref="EA49:EI49"/>
    <mergeCell ref="A50:D50"/>
    <mergeCell ref="E50:J50"/>
    <mergeCell ref="K50:Q50"/>
    <mergeCell ref="R50:Z50"/>
    <mergeCell ref="AA50:AI50"/>
    <mergeCell ref="AJ50:AS50"/>
    <mergeCell ref="AT50:BC50"/>
    <mergeCell ref="BD50:BM50"/>
    <mergeCell ref="BN50:BW50"/>
    <mergeCell ref="CR52:DC52"/>
    <mergeCell ref="DD52:DY52"/>
    <mergeCell ref="CD53:CO53"/>
    <mergeCell ref="CP53:DB53"/>
    <mergeCell ref="BD51:BM51"/>
    <mergeCell ref="BN51:BW51"/>
    <mergeCell ref="A52:Q52"/>
    <mergeCell ref="R52:Z52"/>
    <mergeCell ref="AA52:AI52"/>
    <mergeCell ref="AJ52:AS52"/>
    <mergeCell ref="AT52:BC52"/>
    <mergeCell ref="BD52:BM52"/>
    <mergeCell ref="BN52:BW52"/>
    <mergeCell ref="A51:D51"/>
    <mergeCell ref="E51:J51"/>
    <mergeCell ref="K51:Q51"/>
    <mergeCell ref="R51:Z51"/>
    <mergeCell ref="AA51:AI51"/>
    <mergeCell ref="AJ51:AS51"/>
    <mergeCell ref="AT51:BC51"/>
    <mergeCell ref="BX52:CG52"/>
    <mergeCell ref="CH52:CQ52"/>
    <mergeCell ref="A54:BL54"/>
    <mergeCell ref="BP54:DY54"/>
    <mergeCell ref="A56:P57"/>
    <mergeCell ref="Q56:AB56"/>
    <mergeCell ref="AC56:AN56"/>
    <mergeCell ref="AO56:AZ56"/>
    <mergeCell ref="BA56:BL56"/>
    <mergeCell ref="BP56:CD56"/>
    <mergeCell ref="CE56:DE56"/>
    <mergeCell ref="DF56:DO56"/>
    <mergeCell ref="DP56:DY56"/>
    <mergeCell ref="Q57:AB57"/>
    <mergeCell ref="AC57:AN57"/>
    <mergeCell ref="AO57:AZ57"/>
    <mergeCell ref="BA57:BL57"/>
    <mergeCell ref="BP57:CD57"/>
    <mergeCell ref="CE57:DE57"/>
    <mergeCell ref="DF57:DO57"/>
    <mergeCell ref="DP57:DY57"/>
    <mergeCell ref="BP60:CD60"/>
    <mergeCell ref="CE60:DE60"/>
    <mergeCell ref="DF60:DO60"/>
    <mergeCell ref="DP60:DY60"/>
    <mergeCell ref="CE58:DE58"/>
    <mergeCell ref="DF58:DO58"/>
    <mergeCell ref="DP58:DY58"/>
    <mergeCell ref="A60:P60"/>
    <mergeCell ref="Q60:BL60"/>
    <mergeCell ref="BP59:CD59"/>
    <mergeCell ref="CE59:DE59"/>
    <mergeCell ref="DF59:DO59"/>
    <mergeCell ref="DP59:DY59"/>
    <mergeCell ref="Q59:AB59"/>
    <mergeCell ref="AC59:AN59"/>
    <mergeCell ref="AO59:AZ59"/>
    <mergeCell ref="BA59:BL59"/>
    <mergeCell ref="BP58:CD58"/>
    <mergeCell ref="A58:P59"/>
    <mergeCell ref="Q58:AB58"/>
    <mergeCell ref="AC58:AN58"/>
    <mergeCell ref="AO58:AZ58"/>
    <mergeCell ref="BA58:BL58"/>
    <mergeCell ref="A63:DY63"/>
    <mergeCell ref="A65:DY67"/>
    <mergeCell ref="BP61:CD61"/>
    <mergeCell ref="CE61:DE61"/>
    <mergeCell ref="DF61:DO61"/>
    <mergeCell ref="DP61:DY61"/>
    <mergeCell ref="W62:AI62"/>
    <mergeCell ref="BP62:CD62"/>
    <mergeCell ref="CE62:DD62"/>
    <mergeCell ref="DF62:DO62"/>
    <mergeCell ref="DP62:DY62"/>
    <mergeCell ref="A61:P61"/>
    <mergeCell ref="Q61:BL61"/>
  </mergeCells>
  <phoneticPr fontId="2" type="noConversion"/>
  <printOptions horizontalCentered="1"/>
  <pageMargins left="0.19685039370078741" right="0.19685039370078741" top="0.19685039370078741" bottom="0.15748031496062992" header="0.31496062992125984" footer="0.31496062992125984"/>
  <pageSetup paperSize="9" scale="58" orientation="portrait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07FB4-F8BF-48F2-B55A-C8B369166840}">
  <sheetPr>
    <pageSetUpPr fitToPage="1"/>
  </sheetPr>
  <dimension ref="A1:AU79"/>
  <sheetViews>
    <sheetView topLeftCell="A12" zoomScale="90" zoomScaleNormal="90" workbookViewId="0">
      <selection activeCell="S15" sqref="S15:T15"/>
    </sheetView>
  </sheetViews>
  <sheetFormatPr defaultColWidth="9" defaultRowHeight="13.2" x14ac:dyDescent="0.4"/>
  <cols>
    <col min="1" max="2" width="6.69921875" style="279" customWidth="1"/>
    <col min="3" max="3" width="7.69921875" style="279" customWidth="1"/>
    <col min="4" max="7" width="6.69921875" style="279" customWidth="1"/>
    <col min="8" max="13" width="2.69921875" style="279" customWidth="1"/>
    <col min="14" max="18" width="4.69921875" style="279" customWidth="1"/>
    <col min="19" max="19" width="5.69921875" style="279" customWidth="1"/>
    <col min="20" max="22" width="4.69921875" style="279" customWidth="1"/>
    <col min="23" max="23" width="5.69921875" style="279" customWidth="1"/>
    <col min="24" max="24" width="6.69921875" style="279" customWidth="1"/>
    <col min="25" max="25" width="10.69921875" style="279" customWidth="1"/>
    <col min="26" max="26" width="6.69921875" style="279" customWidth="1"/>
    <col min="27" max="27" width="11" style="279" hidden="1" customWidth="1"/>
    <col min="28" max="28" width="4.5" style="279" customWidth="1"/>
    <col min="29" max="16384" width="9" style="279"/>
  </cols>
  <sheetData>
    <row r="1" spans="1:47" ht="39.9" customHeight="1" x14ac:dyDescent="0.4"/>
    <row r="2" spans="1:47" ht="28.5" customHeight="1" x14ac:dyDescent="0.4">
      <c r="AA2" s="282"/>
    </row>
    <row r="3" spans="1:47" ht="28.5" customHeight="1" x14ac:dyDescent="0.4">
      <c r="A3" s="379" t="s">
        <v>454</v>
      </c>
      <c r="B3" s="379"/>
      <c r="C3" s="379"/>
      <c r="D3" s="379"/>
      <c r="E3" s="379"/>
      <c r="F3" s="379"/>
      <c r="G3" s="379"/>
      <c r="H3" s="379"/>
      <c r="I3" s="379"/>
      <c r="J3" s="379"/>
      <c r="K3" s="379"/>
      <c r="L3" s="379"/>
      <c r="M3" s="379"/>
      <c r="N3" s="379"/>
      <c r="O3" s="379"/>
      <c r="P3" s="379"/>
      <c r="Q3" s="379"/>
      <c r="R3" s="379"/>
      <c r="S3" s="379"/>
      <c r="T3" s="379"/>
      <c r="U3" s="379"/>
      <c r="V3" s="379"/>
      <c r="W3" s="379"/>
      <c r="X3" s="379"/>
      <c r="Y3" s="379"/>
      <c r="Z3" s="379"/>
      <c r="AA3" s="282"/>
    </row>
    <row r="4" spans="1:47" ht="39.9" customHeight="1" x14ac:dyDescent="0.4">
      <c r="A4" s="281"/>
      <c r="B4" s="281"/>
      <c r="C4" s="281"/>
      <c r="D4" s="281"/>
      <c r="E4" s="281"/>
      <c r="F4" s="281"/>
      <c r="G4" s="281"/>
      <c r="H4" s="281"/>
      <c r="I4" s="281"/>
      <c r="J4" s="281"/>
      <c r="K4" s="281"/>
      <c r="L4" s="281"/>
      <c r="M4" s="281"/>
      <c r="N4" s="281"/>
      <c r="O4" s="281"/>
      <c r="P4" s="281"/>
      <c r="Q4" s="281"/>
      <c r="R4" s="281"/>
      <c r="S4" s="281"/>
      <c r="T4" s="281"/>
      <c r="U4" s="281"/>
      <c r="V4" s="281"/>
      <c r="W4" s="281"/>
      <c r="X4" s="281"/>
      <c r="Y4" s="281"/>
      <c r="Z4" s="281"/>
      <c r="AA4" s="282"/>
    </row>
    <row r="5" spans="1:47" ht="17.25" customHeight="1" x14ac:dyDescent="0.4">
      <c r="A5" s="283"/>
      <c r="B5" s="283"/>
      <c r="C5" s="283"/>
      <c r="D5" s="283"/>
      <c r="E5" s="283"/>
      <c r="F5" s="283"/>
      <c r="G5" s="283"/>
      <c r="H5" s="283"/>
      <c r="I5" s="283"/>
      <c r="J5" s="283"/>
      <c r="K5" s="283"/>
      <c r="L5" s="283"/>
      <c r="M5" s="283"/>
      <c r="N5" s="283"/>
      <c r="O5" s="283"/>
      <c r="P5" s="283"/>
      <c r="Q5" s="283"/>
      <c r="R5" s="283"/>
      <c r="S5" s="283"/>
      <c r="T5" s="283"/>
      <c r="U5" s="283"/>
      <c r="V5" s="283"/>
      <c r="W5" s="283"/>
      <c r="X5" s="411">
        <v>46179</v>
      </c>
      <c r="Y5" s="412"/>
      <c r="Z5" s="412"/>
      <c r="AA5" s="285"/>
    </row>
    <row r="6" spans="1:47" s="287" customFormat="1" ht="21.75" customHeight="1" thickBot="1" x14ac:dyDescent="0.45">
      <c r="A6" s="380" t="s">
        <v>392</v>
      </c>
      <c r="B6" s="380"/>
      <c r="C6" s="380"/>
      <c r="D6" s="380"/>
      <c r="E6" s="380"/>
      <c r="F6" s="380"/>
      <c r="G6" s="380"/>
      <c r="H6" s="380"/>
      <c r="I6" s="380"/>
      <c r="J6" s="380"/>
      <c r="K6" s="380"/>
      <c r="L6" s="380"/>
      <c r="M6" s="380"/>
      <c r="N6" s="380"/>
      <c r="O6" s="380"/>
      <c r="P6" s="380"/>
      <c r="Q6" s="380"/>
      <c r="R6" s="380"/>
      <c r="S6" s="380"/>
      <c r="T6" s="380"/>
      <c r="U6" s="380"/>
      <c r="V6" s="380"/>
      <c r="W6" s="380"/>
      <c r="X6" s="380"/>
      <c r="Y6" s="380"/>
      <c r="Z6" s="380"/>
      <c r="AA6" s="286"/>
    </row>
    <row r="7" spans="1:47" ht="30" customHeight="1" x14ac:dyDescent="0.4">
      <c r="A7" s="393" t="s">
        <v>393</v>
      </c>
      <c r="B7" s="376"/>
      <c r="C7" s="397" t="s">
        <v>411</v>
      </c>
      <c r="D7" s="398"/>
      <c r="E7" s="398"/>
      <c r="F7" s="399"/>
      <c r="G7" s="404" t="s">
        <v>412</v>
      </c>
      <c r="H7" s="404"/>
      <c r="I7" s="404"/>
      <c r="J7" s="404"/>
      <c r="K7" s="404"/>
      <c r="L7" s="404"/>
      <c r="M7" s="404"/>
      <c r="N7" s="376"/>
      <c r="O7" s="377"/>
      <c r="P7" s="377"/>
      <c r="Q7" s="378"/>
      <c r="R7" s="413" t="s">
        <v>394</v>
      </c>
      <c r="S7" s="414"/>
      <c r="T7" s="367" t="s">
        <v>446</v>
      </c>
      <c r="U7" s="368"/>
      <c r="V7" s="369"/>
      <c r="W7" s="404" t="s">
        <v>395</v>
      </c>
      <c r="X7" s="404"/>
      <c r="Y7" s="317">
        <v>1</v>
      </c>
      <c r="Z7" s="318" t="s">
        <v>396</v>
      </c>
      <c r="AA7" s="280"/>
      <c r="AB7" s="288">
        <v>2</v>
      </c>
    </row>
    <row r="8" spans="1:47" ht="30" customHeight="1" thickBot="1" x14ac:dyDescent="0.45">
      <c r="A8" s="394" t="s">
        <v>397</v>
      </c>
      <c r="B8" s="373"/>
      <c r="C8" s="400" t="s">
        <v>518</v>
      </c>
      <c r="D8" s="374"/>
      <c r="E8" s="401"/>
      <c r="F8" s="402"/>
      <c r="G8" s="405" t="s">
        <v>398</v>
      </c>
      <c r="H8" s="405"/>
      <c r="I8" s="405"/>
      <c r="J8" s="405"/>
      <c r="K8" s="405"/>
      <c r="L8" s="405"/>
      <c r="M8" s="405"/>
      <c r="N8" s="373"/>
      <c r="O8" s="374"/>
      <c r="P8" s="374"/>
      <c r="Q8" s="375"/>
      <c r="R8" s="415"/>
      <c r="S8" s="416"/>
      <c r="T8" s="370" t="s">
        <v>447</v>
      </c>
      <c r="U8" s="371"/>
      <c r="V8" s="372"/>
      <c r="W8" s="405" t="s">
        <v>399</v>
      </c>
      <c r="X8" s="405"/>
      <c r="Y8" s="320">
        <f>Y7*F30</f>
        <v>2110.8695652173915</v>
      </c>
      <c r="Z8" s="321" t="s">
        <v>442</v>
      </c>
      <c r="AA8" s="289"/>
    </row>
    <row r="9" spans="1:47" ht="30" customHeight="1" x14ac:dyDescent="0.4">
      <c r="A9" s="283"/>
      <c r="B9" s="283"/>
      <c r="C9" s="283"/>
      <c r="D9" s="283"/>
      <c r="E9" s="283"/>
      <c r="F9" s="283"/>
      <c r="G9" s="283"/>
      <c r="H9" s="283"/>
      <c r="I9" s="283"/>
      <c r="J9" s="283"/>
      <c r="K9" s="283"/>
      <c r="L9" s="283"/>
      <c r="M9" s="283"/>
      <c r="N9" s="283"/>
      <c r="O9" s="283"/>
      <c r="P9" s="283"/>
      <c r="Q9" s="283"/>
      <c r="R9" s="283"/>
      <c r="S9" s="283"/>
      <c r="T9" s="283"/>
      <c r="U9" s="283"/>
      <c r="V9" s="283"/>
      <c r="W9" s="283"/>
      <c r="X9" s="283"/>
      <c r="Y9" s="283"/>
      <c r="Z9" s="283"/>
    </row>
    <row r="10" spans="1:47" ht="30" customHeight="1" thickBot="1" x14ac:dyDescent="0.45">
      <c r="A10" s="308" t="s">
        <v>400</v>
      </c>
      <c r="B10" s="290"/>
      <c r="C10" s="290"/>
      <c r="D10" s="290"/>
      <c r="E10" s="290"/>
      <c r="F10" s="290"/>
      <c r="G10" s="290"/>
      <c r="H10" s="290"/>
      <c r="I10" s="290"/>
      <c r="J10" s="290"/>
      <c r="K10" s="290"/>
      <c r="L10" s="290"/>
      <c r="M10" s="290"/>
      <c r="N10" s="290"/>
      <c r="O10" s="290"/>
      <c r="P10" s="290"/>
      <c r="Q10" s="290"/>
      <c r="R10" s="290"/>
      <c r="S10" s="290"/>
      <c r="T10" s="290"/>
      <c r="U10" s="290"/>
      <c r="V10" s="290"/>
      <c r="W10" s="290"/>
      <c r="X10" s="290"/>
      <c r="Y10" s="290"/>
      <c r="Z10" s="290"/>
    </row>
    <row r="11" spans="1:47" ht="30" customHeight="1" x14ac:dyDescent="0.4">
      <c r="A11" s="381" t="s">
        <v>401</v>
      </c>
      <c r="B11" s="384" t="s">
        <v>415</v>
      </c>
      <c r="C11" s="384"/>
      <c r="D11" s="384" t="s">
        <v>402</v>
      </c>
      <c r="E11" s="384"/>
      <c r="F11" s="395" t="s">
        <v>460</v>
      </c>
      <c r="G11" s="384"/>
      <c r="H11" s="395" t="s">
        <v>494</v>
      </c>
      <c r="I11" s="395"/>
      <c r="J11" s="395"/>
      <c r="K11" s="395"/>
      <c r="L11" s="395"/>
      <c r="M11" s="395"/>
      <c r="N11" s="395"/>
      <c r="O11" s="395"/>
      <c r="P11" s="395"/>
      <c r="Q11" s="395"/>
      <c r="R11" s="395"/>
      <c r="S11" s="395"/>
      <c r="T11" s="395"/>
      <c r="U11" s="395"/>
      <c r="V11" s="395"/>
      <c r="W11" s="395" t="s">
        <v>443</v>
      </c>
      <c r="X11" s="384"/>
      <c r="Y11" s="384" t="s">
        <v>403</v>
      </c>
      <c r="Z11" s="385"/>
      <c r="AE11" s="279">
        <f>150-112.5</f>
        <v>37.5</v>
      </c>
    </row>
    <row r="12" spans="1:47" ht="30" customHeight="1" x14ac:dyDescent="0.4">
      <c r="A12" s="382"/>
      <c r="B12" s="386"/>
      <c r="C12" s="386"/>
      <c r="D12" s="386"/>
      <c r="E12" s="386"/>
      <c r="F12" s="396"/>
      <c r="G12" s="386"/>
      <c r="H12" s="392">
        <v>0.5</v>
      </c>
      <c r="I12" s="392"/>
      <c r="J12" s="392"/>
      <c r="K12" s="392"/>
      <c r="L12" s="388">
        <v>2</v>
      </c>
      <c r="M12" s="388"/>
      <c r="N12" s="388"/>
      <c r="O12" s="388">
        <v>3</v>
      </c>
      <c r="P12" s="388"/>
      <c r="Q12" s="388">
        <v>4</v>
      </c>
      <c r="R12" s="388"/>
      <c r="S12" s="388">
        <v>5</v>
      </c>
      <c r="T12" s="388"/>
      <c r="U12" s="388">
        <v>6</v>
      </c>
      <c r="V12" s="388"/>
      <c r="W12" s="396"/>
      <c r="X12" s="386"/>
      <c r="Y12" s="386"/>
      <c r="Z12" s="387"/>
    </row>
    <row r="13" spans="1:47" s="280" customFormat="1" ht="30" customHeight="1" x14ac:dyDescent="0.4">
      <c r="A13" s="383"/>
      <c r="B13" s="388"/>
      <c r="C13" s="388"/>
      <c r="D13" s="388"/>
      <c r="E13" s="388"/>
      <c r="F13" s="388"/>
      <c r="G13" s="388"/>
      <c r="H13" s="388"/>
      <c r="I13" s="388"/>
      <c r="J13" s="388"/>
      <c r="K13" s="388"/>
      <c r="L13" s="388"/>
      <c r="M13" s="388"/>
      <c r="N13" s="388"/>
      <c r="O13" s="388"/>
      <c r="P13" s="388"/>
      <c r="Q13" s="388"/>
      <c r="R13" s="388"/>
      <c r="S13" s="388"/>
      <c r="T13" s="388"/>
      <c r="U13" s="388"/>
      <c r="V13" s="388"/>
      <c r="W13" s="388"/>
      <c r="X13" s="388"/>
      <c r="Y13" s="388"/>
      <c r="Z13" s="389"/>
      <c r="AD13" s="279"/>
      <c r="AE13" s="279"/>
      <c r="AF13" s="279"/>
      <c r="AG13" s="279"/>
      <c r="AH13" s="279"/>
      <c r="AI13" s="279"/>
      <c r="AJ13" s="279"/>
      <c r="AK13" s="279"/>
      <c r="AL13" s="279"/>
      <c r="AM13" s="279"/>
      <c r="AN13" s="279"/>
      <c r="AO13" s="279"/>
      <c r="AP13" s="279"/>
      <c r="AQ13" s="279"/>
      <c r="AR13" s="279"/>
      <c r="AS13" s="279"/>
      <c r="AT13" s="279"/>
      <c r="AU13" s="279"/>
    </row>
    <row r="14" spans="1:47" ht="30" customHeight="1" x14ac:dyDescent="0.4">
      <c r="A14" s="315">
        <v>1</v>
      </c>
      <c r="B14" s="390" t="s">
        <v>416</v>
      </c>
      <c r="C14" s="390"/>
      <c r="D14" s="390" t="s">
        <v>471</v>
      </c>
      <c r="E14" s="390"/>
      <c r="F14" s="403">
        <v>350</v>
      </c>
      <c r="G14" s="403"/>
      <c r="H14" s="391">
        <f>F14/2</f>
        <v>175</v>
      </c>
      <c r="I14" s="391"/>
      <c r="J14" s="391"/>
      <c r="K14" s="391"/>
      <c r="L14" s="391"/>
      <c r="M14" s="391"/>
      <c r="N14" s="391"/>
      <c r="O14" s="391"/>
      <c r="P14" s="391"/>
      <c r="Q14" s="391"/>
      <c r="R14" s="391"/>
      <c r="S14" s="391">
        <v>4.3</v>
      </c>
      <c r="T14" s="391"/>
      <c r="U14" s="391"/>
      <c r="V14" s="391"/>
      <c r="W14" s="390">
        <v>400</v>
      </c>
      <c r="X14" s="390"/>
      <c r="Y14" s="390"/>
      <c r="Z14" s="406"/>
      <c r="AD14" s="345">
        <f>F14+F15</f>
        <v>462.5</v>
      </c>
    </row>
    <row r="15" spans="1:47" ht="30" customHeight="1" x14ac:dyDescent="0.4">
      <c r="A15" s="315">
        <v>2</v>
      </c>
      <c r="B15" s="390" t="s">
        <v>417</v>
      </c>
      <c r="C15" s="390"/>
      <c r="D15" s="390" t="s">
        <v>470</v>
      </c>
      <c r="E15" s="390"/>
      <c r="F15" s="403">
        <v>112.5</v>
      </c>
      <c r="G15" s="403"/>
      <c r="H15" s="391">
        <f t="shared" ref="H15:H28" si="0">F15/2</f>
        <v>56.25</v>
      </c>
      <c r="I15" s="391"/>
      <c r="J15" s="391"/>
      <c r="K15" s="391"/>
      <c r="L15" s="391"/>
      <c r="M15" s="391"/>
      <c r="N15" s="391"/>
      <c r="O15" s="391"/>
      <c r="P15" s="391"/>
      <c r="Q15" s="391"/>
      <c r="R15" s="391"/>
      <c r="S15" s="391">
        <v>1.35</v>
      </c>
      <c r="T15" s="391"/>
      <c r="U15" s="391"/>
      <c r="V15" s="391"/>
      <c r="W15" s="390">
        <v>400</v>
      </c>
      <c r="X15" s="390"/>
      <c r="Y15" s="390"/>
      <c r="Z15" s="406"/>
      <c r="AD15" s="346">
        <f>F14/AD14</f>
        <v>0.7567567567567568</v>
      </c>
      <c r="AE15" s="346">
        <f>F15/AD14</f>
        <v>0.24324324324324326</v>
      </c>
    </row>
    <row r="16" spans="1:47" ht="30" customHeight="1" x14ac:dyDescent="0.4">
      <c r="A16" s="315">
        <v>3</v>
      </c>
      <c r="B16" s="390" t="s">
        <v>418</v>
      </c>
      <c r="C16" s="390"/>
      <c r="D16" s="390" t="s">
        <v>404</v>
      </c>
      <c r="E16" s="390"/>
      <c r="F16" s="403">
        <v>37.5</v>
      </c>
      <c r="G16" s="403"/>
      <c r="H16" s="391">
        <f t="shared" si="0"/>
        <v>18.75</v>
      </c>
      <c r="I16" s="391"/>
      <c r="J16" s="391"/>
      <c r="K16" s="391"/>
      <c r="L16" s="391"/>
      <c r="M16" s="391"/>
      <c r="N16" s="391"/>
      <c r="O16" s="391"/>
      <c r="P16" s="391"/>
      <c r="Q16" s="391"/>
      <c r="R16" s="391"/>
      <c r="S16" s="391">
        <v>0.45</v>
      </c>
      <c r="T16" s="391"/>
      <c r="U16" s="391"/>
      <c r="V16" s="391"/>
      <c r="W16" s="390">
        <v>400</v>
      </c>
      <c r="X16" s="390"/>
      <c r="Y16" s="679" t="s">
        <v>570</v>
      </c>
      <c r="Z16" s="680"/>
    </row>
    <row r="17" spans="1:26" ht="30" customHeight="1" x14ac:dyDescent="0.4">
      <c r="A17" s="315">
        <v>4</v>
      </c>
      <c r="B17" s="390" t="s">
        <v>419</v>
      </c>
      <c r="C17" s="390"/>
      <c r="D17" s="390" t="s">
        <v>413</v>
      </c>
      <c r="E17" s="390"/>
      <c r="F17" s="403">
        <v>5</v>
      </c>
      <c r="G17" s="403"/>
      <c r="H17" s="391">
        <f t="shared" si="0"/>
        <v>2.5</v>
      </c>
      <c r="I17" s="391"/>
      <c r="J17" s="391"/>
      <c r="K17" s="391"/>
      <c r="L17" s="391"/>
      <c r="M17" s="391"/>
      <c r="N17" s="391"/>
      <c r="O17" s="391"/>
      <c r="P17" s="391"/>
      <c r="Q17" s="391"/>
      <c r="R17" s="391"/>
      <c r="S17" s="391">
        <v>6.0999999999999999E-2</v>
      </c>
      <c r="T17" s="391"/>
      <c r="U17" s="391"/>
      <c r="V17" s="391"/>
      <c r="W17" s="390">
        <v>400</v>
      </c>
      <c r="X17" s="390"/>
      <c r="Y17" s="390"/>
      <c r="Z17" s="406"/>
    </row>
    <row r="18" spans="1:26" ht="30" customHeight="1" x14ac:dyDescent="0.4">
      <c r="A18" s="315">
        <v>5</v>
      </c>
      <c r="B18" s="390" t="s">
        <v>419</v>
      </c>
      <c r="C18" s="390"/>
      <c r="D18" s="407" t="s">
        <v>420</v>
      </c>
      <c r="E18" s="407"/>
      <c r="F18" s="678">
        <v>5</v>
      </c>
      <c r="G18" s="678"/>
      <c r="H18" s="391">
        <f t="shared" si="0"/>
        <v>2.5</v>
      </c>
      <c r="I18" s="391"/>
      <c r="J18" s="391"/>
      <c r="K18" s="391"/>
      <c r="L18" s="391"/>
      <c r="M18" s="391"/>
      <c r="N18" s="391"/>
      <c r="O18" s="391"/>
      <c r="P18" s="391"/>
      <c r="Q18" s="391"/>
      <c r="R18" s="391"/>
      <c r="S18" s="391">
        <v>6.0999999999999999E-2</v>
      </c>
      <c r="T18" s="391"/>
      <c r="U18" s="391"/>
      <c r="V18" s="391"/>
      <c r="W18" s="390">
        <v>400</v>
      </c>
      <c r="X18" s="390"/>
      <c r="Y18" s="390"/>
      <c r="Z18" s="406"/>
    </row>
    <row r="19" spans="1:26" ht="30" customHeight="1" x14ac:dyDescent="0.4">
      <c r="A19" s="315"/>
      <c r="B19" s="390"/>
      <c r="C19" s="390"/>
      <c r="D19" s="407"/>
      <c r="E19" s="407"/>
      <c r="F19" s="678"/>
      <c r="G19" s="678"/>
      <c r="H19" s="391"/>
      <c r="I19" s="391"/>
      <c r="J19" s="391"/>
      <c r="K19" s="391"/>
      <c r="L19" s="391"/>
      <c r="M19" s="391"/>
      <c r="N19" s="391"/>
      <c r="O19" s="391"/>
      <c r="P19" s="391"/>
      <c r="Q19" s="391"/>
      <c r="R19" s="391"/>
      <c r="S19" s="391"/>
      <c r="T19" s="391"/>
      <c r="U19" s="391"/>
      <c r="V19" s="391"/>
      <c r="W19" s="390"/>
      <c r="X19" s="390"/>
      <c r="Y19" s="390"/>
      <c r="Z19" s="406"/>
    </row>
    <row r="20" spans="1:26" ht="30" customHeight="1" x14ac:dyDescent="0.4">
      <c r="A20" s="315">
        <v>6</v>
      </c>
      <c r="B20" s="390" t="s">
        <v>421</v>
      </c>
      <c r="C20" s="390"/>
      <c r="D20" s="390" t="s">
        <v>424</v>
      </c>
      <c r="E20" s="390"/>
      <c r="F20" s="403">
        <v>8.5</v>
      </c>
      <c r="G20" s="403"/>
      <c r="H20" s="391">
        <f t="shared" si="0"/>
        <v>4.25</v>
      </c>
      <c r="I20" s="391"/>
      <c r="J20" s="391"/>
      <c r="K20" s="391"/>
      <c r="L20" s="391"/>
      <c r="M20" s="391"/>
      <c r="N20" s="391"/>
      <c r="O20" s="391"/>
      <c r="P20" s="391"/>
      <c r="Q20" s="391"/>
      <c r="R20" s="391"/>
      <c r="S20" s="391">
        <v>0.104</v>
      </c>
      <c r="T20" s="391"/>
      <c r="U20" s="391"/>
      <c r="V20" s="391"/>
      <c r="W20" s="390">
        <v>400</v>
      </c>
      <c r="X20" s="390"/>
      <c r="Y20" s="390"/>
      <c r="Z20" s="406"/>
    </row>
    <row r="21" spans="1:26" ht="30" customHeight="1" x14ac:dyDescent="0.4">
      <c r="A21" s="315">
        <v>7</v>
      </c>
      <c r="B21" s="390" t="s">
        <v>422</v>
      </c>
      <c r="C21" s="390"/>
      <c r="D21" s="390" t="s">
        <v>425</v>
      </c>
      <c r="E21" s="390"/>
      <c r="F21" s="403">
        <v>6</v>
      </c>
      <c r="G21" s="403"/>
      <c r="H21" s="391">
        <f t="shared" si="0"/>
        <v>3</v>
      </c>
      <c r="I21" s="391"/>
      <c r="J21" s="391"/>
      <c r="K21" s="391"/>
      <c r="L21" s="391"/>
      <c r="M21" s="391"/>
      <c r="N21" s="391"/>
      <c r="O21" s="391"/>
      <c r="P21" s="391"/>
      <c r="Q21" s="391"/>
      <c r="R21" s="391"/>
      <c r="S21" s="391">
        <v>7.0000000000000007E-2</v>
      </c>
      <c r="T21" s="391"/>
      <c r="U21" s="391"/>
      <c r="V21" s="391"/>
      <c r="W21" s="390">
        <v>400</v>
      </c>
      <c r="X21" s="390"/>
      <c r="Y21" s="390"/>
      <c r="Z21" s="406"/>
    </row>
    <row r="22" spans="1:26" ht="30" customHeight="1" x14ac:dyDescent="0.4">
      <c r="A22" s="315">
        <v>8</v>
      </c>
      <c r="B22" s="390" t="s">
        <v>430</v>
      </c>
      <c r="C22" s="390"/>
      <c r="D22" s="390" t="s">
        <v>429</v>
      </c>
      <c r="E22" s="390"/>
      <c r="F22" s="403">
        <v>5</v>
      </c>
      <c r="G22" s="403"/>
      <c r="H22" s="391">
        <f t="shared" si="0"/>
        <v>2.5</v>
      </c>
      <c r="I22" s="391"/>
      <c r="J22" s="391"/>
      <c r="K22" s="391"/>
      <c r="L22" s="391"/>
      <c r="M22" s="391"/>
      <c r="N22" s="391"/>
      <c r="O22" s="391"/>
      <c r="P22" s="391"/>
      <c r="Q22" s="391"/>
      <c r="R22" s="391"/>
      <c r="S22" s="391">
        <v>6.0999999999999999E-2</v>
      </c>
      <c r="T22" s="391"/>
      <c r="U22" s="391"/>
      <c r="V22" s="391"/>
      <c r="W22" s="390">
        <v>400</v>
      </c>
      <c r="X22" s="390"/>
      <c r="Y22" s="390"/>
      <c r="Z22" s="406"/>
    </row>
    <row r="23" spans="1:26" ht="30" customHeight="1" x14ac:dyDescent="0.4">
      <c r="A23" s="315">
        <v>9</v>
      </c>
      <c r="B23" s="390" t="s">
        <v>417</v>
      </c>
      <c r="C23" s="390"/>
      <c r="D23" s="407" t="s">
        <v>405</v>
      </c>
      <c r="E23" s="407"/>
      <c r="F23" s="403">
        <v>25</v>
      </c>
      <c r="G23" s="403"/>
      <c r="H23" s="391">
        <f t="shared" si="0"/>
        <v>12.5</v>
      </c>
      <c r="I23" s="391"/>
      <c r="J23" s="391"/>
      <c r="K23" s="391"/>
      <c r="L23" s="391"/>
      <c r="M23" s="391"/>
      <c r="N23" s="391"/>
      <c r="O23" s="391"/>
      <c r="P23" s="391"/>
      <c r="Q23" s="391"/>
      <c r="R23" s="391"/>
      <c r="S23" s="391">
        <v>0.31</v>
      </c>
      <c r="T23" s="391"/>
      <c r="U23" s="391"/>
      <c r="V23" s="391"/>
      <c r="W23" s="390">
        <v>600</v>
      </c>
      <c r="X23" s="390"/>
      <c r="Y23" s="390"/>
      <c r="Z23" s="406"/>
    </row>
    <row r="24" spans="1:26" ht="30" customHeight="1" x14ac:dyDescent="0.4">
      <c r="A24" s="315">
        <v>10</v>
      </c>
      <c r="B24" s="390" t="s">
        <v>423</v>
      </c>
      <c r="C24" s="390"/>
      <c r="D24" s="407" t="s">
        <v>406</v>
      </c>
      <c r="E24" s="407"/>
      <c r="F24" s="403">
        <v>25</v>
      </c>
      <c r="G24" s="403"/>
      <c r="H24" s="391">
        <f t="shared" si="0"/>
        <v>12.5</v>
      </c>
      <c r="I24" s="391"/>
      <c r="J24" s="391"/>
      <c r="K24" s="391"/>
      <c r="L24" s="391"/>
      <c r="M24" s="391"/>
      <c r="N24" s="391"/>
      <c r="O24" s="391"/>
      <c r="P24" s="391"/>
      <c r="Q24" s="391"/>
      <c r="R24" s="391"/>
      <c r="S24" s="391">
        <v>0.31</v>
      </c>
      <c r="T24" s="391"/>
      <c r="U24" s="391"/>
      <c r="V24" s="391"/>
      <c r="W24" s="390">
        <v>600</v>
      </c>
      <c r="X24" s="390"/>
      <c r="Y24" s="390"/>
      <c r="Z24" s="406"/>
    </row>
    <row r="25" spans="1:26" ht="30" customHeight="1" x14ac:dyDescent="0.4">
      <c r="A25" s="315">
        <v>11</v>
      </c>
      <c r="B25" s="390" t="s">
        <v>426</v>
      </c>
      <c r="C25" s="390"/>
      <c r="D25" s="407" t="s">
        <v>407</v>
      </c>
      <c r="E25" s="407"/>
      <c r="F25" s="403">
        <v>850</v>
      </c>
      <c r="G25" s="403"/>
      <c r="H25" s="391">
        <f t="shared" si="0"/>
        <v>425</v>
      </c>
      <c r="I25" s="391"/>
      <c r="J25" s="391"/>
      <c r="K25" s="391"/>
      <c r="L25" s="391"/>
      <c r="M25" s="391"/>
      <c r="N25" s="391"/>
      <c r="O25" s="391"/>
      <c r="P25" s="391"/>
      <c r="Q25" s="391"/>
      <c r="R25" s="391"/>
      <c r="S25" s="391">
        <v>10.4</v>
      </c>
      <c r="T25" s="391"/>
      <c r="U25" s="391"/>
      <c r="V25" s="391"/>
      <c r="W25" s="407" t="s">
        <v>472</v>
      </c>
      <c r="X25" s="407"/>
      <c r="Y25" s="676"/>
      <c r="Z25" s="677"/>
    </row>
    <row r="26" spans="1:26" ht="30" customHeight="1" x14ac:dyDescent="0.4">
      <c r="A26" s="316"/>
      <c r="B26" s="410"/>
      <c r="C26" s="410"/>
      <c r="D26" s="410"/>
      <c r="E26" s="410"/>
      <c r="F26" s="410"/>
      <c r="G26" s="410"/>
      <c r="H26" s="391">
        <f t="shared" si="0"/>
        <v>0</v>
      </c>
      <c r="I26" s="391"/>
      <c r="J26" s="391"/>
      <c r="K26" s="391"/>
      <c r="L26" s="391"/>
      <c r="M26" s="391"/>
      <c r="N26" s="391"/>
      <c r="O26" s="391"/>
      <c r="P26" s="391"/>
      <c r="Q26" s="391"/>
      <c r="R26" s="391"/>
      <c r="S26" s="391"/>
      <c r="T26" s="391"/>
      <c r="U26" s="391"/>
      <c r="V26" s="391"/>
      <c r="W26" s="407">
        <v>150</v>
      </c>
      <c r="X26" s="407"/>
      <c r="Y26" s="410"/>
      <c r="Z26" s="675"/>
    </row>
    <row r="27" spans="1:26" ht="30" customHeight="1" x14ac:dyDescent="0.4">
      <c r="A27" s="315">
        <v>12</v>
      </c>
      <c r="B27" s="390" t="s">
        <v>427</v>
      </c>
      <c r="C27" s="390"/>
      <c r="D27" s="407" t="s">
        <v>408</v>
      </c>
      <c r="E27" s="407"/>
      <c r="F27" s="403">
        <v>11</v>
      </c>
      <c r="G27" s="403"/>
      <c r="H27" s="391">
        <f t="shared" si="0"/>
        <v>5.5</v>
      </c>
      <c r="I27" s="391"/>
      <c r="J27" s="391"/>
      <c r="K27" s="391"/>
      <c r="L27" s="391"/>
      <c r="M27" s="391"/>
      <c r="N27" s="391"/>
      <c r="O27" s="391"/>
      <c r="P27" s="391"/>
      <c r="Q27" s="391"/>
      <c r="R27" s="391"/>
      <c r="S27" s="391">
        <v>0.13</v>
      </c>
      <c r="T27" s="391"/>
      <c r="U27" s="391"/>
      <c r="V27" s="391"/>
      <c r="W27" s="423">
        <f>F27/SUM(F14:F25)</f>
        <v>7.6949982511367613E-3</v>
      </c>
      <c r="X27" s="423"/>
      <c r="Y27" s="673"/>
      <c r="Z27" s="674"/>
    </row>
    <row r="28" spans="1:26" ht="30" customHeight="1" x14ac:dyDescent="0.4">
      <c r="A28" s="315">
        <v>13</v>
      </c>
      <c r="B28" s="390" t="s">
        <v>428</v>
      </c>
      <c r="C28" s="390"/>
      <c r="D28" s="407" t="s">
        <v>409</v>
      </c>
      <c r="E28" s="407"/>
      <c r="F28" s="403">
        <v>16</v>
      </c>
      <c r="G28" s="403"/>
      <c r="H28" s="391">
        <f t="shared" si="0"/>
        <v>8</v>
      </c>
      <c r="I28" s="391"/>
      <c r="J28" s="391"/>
      <c r="K28" s="391"/>
      <c r="L28" s="391"/>
      <c r="M28" s="391"/>
      <c r="N28" s="391"/>
      <c r="O28" s="391"/>
      <c r="P28" s="391"/>
      <c r="Q28" s="391"/>
      <c r="R28" s="391"/>
      <c r="S28" s="391">
        <v>0.2</v>
      </c>
      <c r="T28" s="391"/>
      <c r="U28" s="391"/>
      <c r="V28" s="391"/>
      <c r="W28" s="423">
        <f>F28/SUM(F14:F25)</f>
        <v>1.1192724728926198E-2</v>
      </c>
      <c r="X28" s="423"/>
      <c r="Y28" s="671"/>
      <c r="Z28" s="672"/>
    </row>
    <row r="29" spans="1:26" ht="30" customHeight="1" x14ac:dyDescent="0.4">
      <c r="A29" s="315">
        <v>14</v>
      </c>
      <c r="B29" s="390" t="s">
        <v>440</v>
      </c>
      <c r="C29" s="390"/>
      <c r="D29" s="407" t="s">
        <v>441</v>
      </c>
      <c r="E29" s="407"/>
      <c r="F29" s="431">
        <v>0.31</v>
      </c>
      <c r="G29" s="431"/>
      <c r="H29" s="391"/>
      <c r="I29" s="391"/>
      <c r="J29" s="391"/>
      <c r="K29" s="391"/>
      <c r="L29" s="391"/>
      <c r="M29" s="391"/>
      <c r="N29" s="391"/>
      <c r="O29" s="391"/>
      <c r="P29" s="391"/>
      <c r="Q29" s="391"/>
      <c r="R29" s="391"/>
      <c r="S29" s="391"/>
      <c r="T29" s="391"/>
      <c r="U29" s="391"/>
      <c r="V29" s="391"/>
      <c r="W29" s="407"/>
      <c r="X29" s="407"/>
      <c r="Y29" s="671"/>
      <c r="Z29" s="672"/>
    </row>
    <row r="30" spans="1:26" ht="30" customHeight="1" thickBot="1" x14ac:dyDescent="0.45">
      <c r="A30" s="432" t="s">
        <v>410</v>
      </c>
      <c r="B30" s="408"/>
      <c r="C30" s="408"/>
      <c r="D30" s="408"/>
      <c r="E30" s="408"/>
      <c r="F30" s="433">
        <f>SUM(F14:G28)+W30</f>
        <v>2110.8695652173915</v>
      </c>
      <c r="G30" s="433"/>
      <c r="H30" s="409"/>
      <c r="I30" s="409"/>
      <c r="J30" s="409"/>
      <c r="K30" s="409"/>
      <c r="L30" s="409"/>
      <c r="M30" s="409"/>
      <c r="N30" s="409"/>
      <c r="O30" s="409"/>
      <c r="P30" s="409"/>
      <c r="Q30" s="409"/>
      <c r="R30" s="409"/>
      <c r="S30" s="409"/>
      <c r="T30" s="409"/>
      <c r="U30" s="409"/>
      <c r="V30" s="409"/>
      <c r="W30" s="434">
        <f>SUM(F14:G28)/(1-F29)*F29</f>
        <v>654.36956521739137</v>
      </c>
      <c r="X30" s="434"/>
      <c r="Y30" s="405"/>
      <c r="Z30" s="419"/>
    </row>
    <row r="31" spans="1:26" ht="30" customHeight="1" x14ac:dyDescent="0.4">
      <c r="A31" s="283"/>
      <c r="B31" s="283"/>
      <c r="C31" s="283"/>
      <c r="D31" s="283"/>
      <c r="E31" s="283"/>
      <c r="F31" s="283"/>
      <c r="G31" s="283"/>
      <c r="H31" s="283"/>
      <c r="I31" s="283"/>
      <c r="J31" s="283"/>
      <c r="K31" s="283"/>
      <c r="L31" s="284"/>
      <c r="M31" s="284"/>
      <c r="N31" s="284"/>
      <c r="O31" s="284"/>
      <c r="P31" s="284"/>
      <c r="Q31" s="284"/>
      <c r="R31" s="284"/>
      <c r="S31" s="284"/>
      <c r="T31" s="284"/>
      <c r="U31" s="284"/>
      <c r="V31" s="284"/>
      <c r="W31" s="284"/>
      <c r="X31" s="284"/>
      <c r="Y31" s="283"/>
      <c r="Z31" s="284"/>
    </row>
    <row r="32" spans="1:26" ht="30" customHeight="1" thickBot="1" x14ac:dyDescent="0.45">
      <c r="A32" s="380" t="s">
        <v>431</v>
      </c>
      <c r="B32" s="380"/>
      <c r="C32" s="380"/>
      <c r="D32" s="380"/>
      <c r="E32" s="380"/>
      <c r="F32" s="380"/>
      <c r="G32" s="380"/>
      <c r="H32" s="380"/>
      <c r="I32" s="380"/>
      <c r="J32" s="380"/>
      <c r="K32" s="380"/>
      <c r="L32" s="380"/>
      <c r="M32" s="380"/>
      <c r="N32" s="380"/>
      <c r="O32" s="380"/>
      <c r="P32" s="380"/>
      <c r="Q32" s="380"/>
      <c r="R32" s="380"/>
      <c r="S32" s="380"/>
      <c r="T32" s="380"/>
      <c r="U32" s="380"/>
      <c r="V32" s="380"/>
      <c r="W32" s="380"/>
      <c r="X32" s="380"/>
      <c r="Y32" s="380"/>
      <c r="Z32" s="308"/>
    </row>
    <row r="33" spans="1:47" ht="30" customHeight="1" x14ac:dyDescent="0.4">
      <c r="A33" s="381" t="s">
        <v>505</v>
      </c>
      <c r="B33" s="395" t="s">
        <v>432</v>
      </c>
      <c r="C33" s="384"/>
      <c r="D33" s="428" t="s">
        <v>439</v>
      </c>
      <c r="E33" s="429"/>
      <c r="F33" s="429"/>
      <c r="G33" s="429"/>
      <c r="H33" s="429"/>
      <c r="I33" s="429"/>
      <c r="J33" s="429"/>
      <c r="K33" s="429"/>
      <c r="L33" s="429"/>
      <c r="M33" s="429"/>
      <c r="N33" s="429"/>
      <c r="O33" s="429"/>
      <c r="P33" s="429"/>
      <c r="Q33" s="429"/>
      <c r="R33" s="429"/>
      <c r="S33" s="429"/>
      <c r="T33" s="384" t="s">
        <v>444</v>
      </c>
      <c r="U33" s="384"/>
      <c r="V33" s="384"/>
      <c r="W33" s="384"/>
      <c r="X33" s="384"/>
      <c r="Y33" s="384" t="s">
        <v>403</v>
      </c>
      <c r="Z33" s="385"/>
    </row>
    <row r="34" spans="1:47" ht="30" customHeight="1" x14ac:dyDescent="0.4">
      <c r="A34" s="383"/>
      <c r="B34" s="388"/>
      <c r="C34" s="388"/>
      <c r="D34" s="388" t="s">
        <v>434</v>
      </c>
      <c r="E34" s="388"/>
      <c r="F34" s="388" t="s">
        <v>435</v>
      </c>
      <c r="G34" s="388"/>
      <c r="H34" s="388" t="s">
        <v>436</v>
      </c>
      <c r="I34" s="388"/>
      <c r="J34" s="388"/>
      <c r="K34" s="388"/>
      <c r="L34" s="388"/>
      <c r="M34" s="388"/>
      <c r="N34" s="388" t="s">
        <v>437</v>
      </c>
      <c r="O34" s="388"/>
      <c r="P34" s="388"/>
      <c r="Q34" s="424" t="s">
        <v>438</v>
      </c>
      <c r="R34" s="425"/>
      <c r="S34" s="425"/>
      <c r="T34" s="388"/>
      <c r="U34" s="388"/>
      <c r="V34" s="388"/>
      <c r="W34" s="388"/>
      <c r="X34" s="388"/>
      <c r="Y34" s="388"/>
      <c r="Z34" s="389"/>
    </row>
    <row r="35" spans="1:47" ht="30" customHeight="1" x14ac:dyDescent="0.4">
      <c r="A35" s="315">
        <v>1</v>
      </c>
      <c r="B35" s="417"/>
      <c r="C35" s="417"/>
      <c r="D35" s="417"/>
      <c r="E35" s="417"/>
      <c r="F35" s="417"/>
      <c r="G35" s="417"/>
      <c r="H35" s="426"/>
      <c r="I35" s="427"/>
      <c r="J35" s="427"/>
      <c r="K35" s="427"/>
      <c r="L35" s="427"/>
      <c r="M35" s="430"/>
      <c r="N35" s="417"/>
      <c r="O35" s="417"/>
      <c r="P35" s="417"/>
      <c r="Q35" s="426"/>
      <c r="R35" s="427"/>
      <c r="S35" s="427"/>
      <c r="T35" s="417"/>
      <c r="U35" s="417"/>
      <c r="V35" s="417"/>
      <c r="W35" s="417"/>
      <c r="X35" s="417"/>
      <c r="Y35" s="417"/>
      <c r="Z35" s="418"/>
    </row>
    <row r="36" spans="1:47" ht="30" customHeight="1" x14ac:dyDescent="0.4">
      <c r="A36" s="315">
        <v>2</v>
      </c>
      <c r="B36" s="390"/>
      <c r="C36" s="390"/>
      <c r="D36" s="390"/>
      <c r="E36" s="390"/>
      <c r="F36" s="390"/>
      <c r="G36" s="390"/>
      <c r="H36" s="420"/>
      <c r="I36" s="421"/>
      <c r="J36" s="421"/>
      <c r="K36" s="421"/>
      <c r="L36" s="421"/>
      <c r="M36" s="422"/>
      <c r="N36" s="390"/>
      <c r="O36" s="390"/>
      <c r="P36" s="390"/>
      <c r="Q36" s="420"/>
      <c r="R36" s="421"/>
      <c r="S36" s="421"/>
      <c r="T36" s="420"/>
      <c r="U36" s="421"/>
      <c r="V36" s="421"/>
      <c r="W36" s="421"/>
      <c r="X36" s="422"/>
      <c r="Y36" s="390"/>
      <c r="Z36" s="406"/>
    </row>
    <row r="37" spans="1:47" ht="30" customHeight="1" x14ac:dyDescent="0.4">
      <c r="A37" s="315">
        <v>3</v>
      </c>
      <c r="B37" s="390"/>
      <c r="C37" s="390"/>
      <c r="D37" s="390"/>
      <c r="E37" s="390"/>
      <c r="F37" s="390"/>
      <c r="G37" s="390"/>
      <c r="H37" s="420"/>
      <c r="I37" s="421"/>
      <c r="J37" s="421"/>
      <c r="K37" s="421"/>
      <c r="L37" s="421"/>
      <c r="M37" s="422"/>
      <c r="N37" s="390"/>
      <c r="O37" s="390"/>
      <c r="P37" s="390"/>
      <c r="Q37" s="420"/>
      <c r="R37" s="421"/>
      <c r="S37" s="421"/>
      <c r="T37" s="420"/>
      <c r="U37" s="421"/>
      <c r="V37" s="421"/>
      <c r="W37" s="421"/>
      <c r="X37" s="422"/>
      <c r="Y37" s="390"/>
      <c r="Z37" s="406"/>
    </row>
    <row r="38" spans="1:47" ht="30" customHeight="1" x14ac:dyDescent="0.4">
      <c r="A38" s="315">
        <v>4</v>
      </c>
      <c r="B38" s="390"/>
      <c r="C38" s="390"/>
      <c r="D38" s="390"/>
      <c r="E38" s="390"/>
      <c r="F38" s="390"/>
      <c r="G38" s="390"/>
      <c r="H38" s="420"/>
      <c r="I38" s="421"/>
      <c r="J38" s="421"/>
      <c r="K38" s="421"/>
      <c r="L38" s="421"/>
      <c r="M38" s="422"/>
      <c r="N38" s="390"/>
      <c r="O38" s="390"/>
      <c r="P38" s="390"/>
      <c r="Q38" s="420"/>
      <c r="R38" s="421"/>
      <c r="S38" s="421"/>
      <c r="T38" s="420"/>
      <c r="U38" s="421"/>
      <c r="V38" s="421"/>
      <c r="W38" s="421"/>
      <c r="X38" s="422"/>
      <c r="Y38" s="390"/>
      <c r="Z38" s="406"/>
    </row>
    <row r="39" spans="1:47" ht="30" customHeight="1" x14ac:dyDescent="0.4">
      <c r="A39" s="315">
        <v>5</v>
      </c>
      <c r="B39" s="390"/>
      <c r="C39" s="390"/>
      <c r="D39" s="390"/>
      <c r="E39" s="390"/>
      <c r="F39" s="390"/>
      <c r="G39" s="390"/>
      <c r="H39" s="420"/>
      <c r="I39" s="421"/>
      <c r="J39" s="421"/>
      <c r="K39" s="421"/>
      <c r="L39" s="421"/>
      <c r="M39" s="422"/>
      <c r="N39" s="390"/>
      <c r="O39" s="390"/>
      <c r="P39" s="390"/>
      <c r="Q39" s="420"/>
      <c r="R39" s="421"/>
      <c r="S39" s="421"/>
      <c r="T39" s="420"/>
      <c r="U39" s="421"/>
      <c r="V39" s="421"/>
      <c r="W39" s="421"/>
      <c r="X39" s="422"/>
      <c r="Y39" s="390"/>
      <c r="Z39" s="406"/>
    </row>
    <row r="40" spans="1:47" ht="30" customHeight="1" thickBot="1" x14ac:dyDescent="0.45">
      <c r="A40" s="319">
        <v>6</v>
      </c>
      <c r="B40" s="408"/>
      <c r="C40" s="408"/>
      <c r="D40" s="405"/>
      <c r="E40" s="405"/>
      <c r="F40" s="405"/>
      <c r="G40" s="405"/>
      <c r="H40" s="373"/>
      <c r="I40" s="374"/>
      <c r="J40" s="374"/>
      <c r="K40" s="374"/>
      <c r="L40" s="374"/>
      <c r="M40" s="375"/>
      <c r="N40" s="405"/>
      <c r="O40" s="405"/>
      <c r="P40" s="405"/>
      <c r="Q40" s="373"/>
      <c r="R40" s="374"/>
      <c r="S40" s="374"/>
      <c r="T40" s="373"/>
      <c r="U40" s="374"/>
      <c r="V40" s="374"/>
      <c r="W40" s="374"/>
      <c r="X40" s="375"/>
      <c r="Y40" s="405"/>
      <c r="Z40" s="419"/>
    </row>
    <row r="41" spans="1:47" s="280" customFormat="1" ht="24" customHeight="1" x14ac:dyDescent="0.4">
      <c r="A41" s="344"/>
      <c r="B41" s="283"/>
      <c r="C41" s="283"/>
      <c r="D41" s="283"/>
      <c r="E41" s="283"/>
      <c r="F41" s="283"/>
      <c r="G41" s="283"/>
      <c r="H41" s="283"/>
      <c r="I41" s="283"/>
      <c r="J41" s="283"/>
      <c r="K41" s="283"/>
      <c r="L41" s="283"/>
      <c r="AD41" s="279"/>
      <c r="AE41" s="279"/>
      <c r="AF41" s="279"/>
      <c r="AG41" s="279"/>
      <c r="AH41" s="279"/>
      <c r="AI41" s="279"/>
      <c r="AJ41" s="279"/>
      <c r="AK41" s="279"/>
      <c r="AL41" s="279"/>
      <c r="AM41" s="279"/>
      <c r="AN41" s="279"/>
      <c r="AO41" s="279"/>
      <c r="AP41" s="279"/>
      <c r="AQ41" s="279"/>
      <c r="AR41" s="279"/>
      <c r="AS41" s="279"/>
      <c r="AT41" s="279"/>
      <c r="AU41" s="279"/>
    </row>
    <row r="42" spans="1:47" ht="24.9" customHeight="1" thickBot="1" x14ac:dyDescent="0.45">
      <c r="A42" s="313" t="s">
        <v>445</v>
      </c>
      <c r="B42" s="313"/>
      <c r="C42" s="313"/>
      <c r="D42" s="313"/>
      <c r="E42" s="313"/>
      <c r="F42" s="313"/>
      <c r="G42" s="313"/>
      <c r="H42" s="313"/>
      <c r="I42" s="313"/>
      <c r="J42" s="313"/>
      <c r="K42" s="313"/>
      <c r="L42" s="313"/>
      <c r="M42" s="313"/>
      <c r="N42" s="313"/>
      <c r="O42" s="313"/>
      <c r="P42" s="313"/>
      <c r="Q42" s="313"/>
      <c r="R42" s="313"/>
      <c r="S42" s="313"/>
      <c r="T42" s="313"/>
      <c r="U42" s="313"/>
      <c r="V42" s="313"/>
      <c r="W42" s="313"/>
      <c r="X42" s="313"/>
      <c r="Y42" s="313"/>
      <c r="Z42" s="313"/>
      <c r="AA42" s="287"/>
      <c r="AB42" s="287"/>
    </row>
    <row r="43" spans="1:47" ht="24.9" customHeight="1" x14ac:dyDescent="0.4">
      <c r="A43" s="351"/>
      <c r="B43" s="352"/>
      <c r="C43" s="352"/>
      <c r="D43" s="352"/>
      <c r="E43" s="352"/>
      <c r="F43" s="352"/>
      <c r="G43" s="352"/>
      <c r="H43" s="352"/>
      <c r="I43" s="352"/>
      <c r="J43" s="352"/>
      <c r="K43" s="667">
        <v>41.3</v>
      </c>
      <c r="L43" s="667"/>
      <c r="M43" s="667"/>
      <c r="N43" s="667"/>
      <c r="O43" s="667"/>
      <c r="P43" s="667"/>
      <c r="Q43" s="352"/>
      <c r="R43" s="352"/>
      <c r="S43" s="352"/>
      <c r="T43" s="352"/>
      <c r="U43" s="352"/>
      <c r="V43" s="352"/>
      <c r="W43" s="352"/>
      <c r="X43" s="352"/>
      <c r="Y43" s="352"/>
      <c r="Z43" s="357"/>
      <c r="AA43" s="287"/>
      <c r="AB43" s="287"/>
    </row>
    <row r="44" spans="1:47" ht="20.100000000000001" customHeight="1" x14ac:dyDescent="0.4">
      <c r="A44" s="353"/>
      <c r="B44" s="354"/>
      <c r="C44" s="354"/>
      <c r="D44" s="354"/>
      <c r="E44" s="354"/>
      <c r="F44" s="668">
        <f>SUM(H14:K26)/SUM(H14:K28)</f>
        <v>0.98146240988671474</v>
      </c>
      <c r="G44" s="668"/>
      <c r="H44" s="668"/>
      <c r="I44" s="668"/>
      <c r="J44" s="668"/>
      <c r="K44" s="670">
        <f>K43*F44</f>
        <v>40.534397528321314</v>
      </c>
      <c r="L44" s="670"/>
      <c r="M44" s="670"/>
      <c r="N44" s="670"/>
      <c r="O44" s="670"/>
      <c r="P44" s="670"/>
      <c r="Q44" s="667" t="s">
        <v>571</v>
      </c>
      <c r="R44" s="667"/>
      <c r="S44" s="667"/>
      <c r="T44" s="354"/>
      <c r="U44" s="354"/>
      <c r="V44" s="354"/>
      <c r="W44" s="354"/>
      <c r="X44" s="354"/>
      <c r="Y44" s="354"/>
      <c r="Z44" s="358"/>
      <c r="AA44" s="287"/>
      <c r="AB44" s="287"/>
    </row>
    <row r="45" spans="1:47" ht="23.25" customHeight="1" x14ac:dyDescent="0.4">
      <c r="A45" s="353"/>
      <c r="B45" s="354"/>
      <c r="C45" s="354"/>
      <c r="D45" s="667" t="s">
        <v>427</v>
      </c>
      <c r="E45" s="667"/>
      <c r="F45" s="668">
        <f>SUM(H27:J27)/SUM(H14:K28)</f>
        <v>7.5523515276347411E-3</v>
      </c>
      <c r="G45" s="668"/>
      <c r="H45" s="668"/>
      <c r="I45" s="668"/>
      <c r="J45" s="668"/>
      <c r="K45" s="669">
        <f>K43*F45*1000</f>
        <v>311.91211809131482</v>
      </c>
      <c r="L45" s="669"/>
      <c r="M45" s="669"/>
      <c r="N45" s="669"/>
      <c r="O45" s="669"/>
      <c r="P45" s="669"/>
      <c r="Q45" s="667" t="s">
        <v>572</v>
      </c>
      <c r="R45" s="667"/>
      <c r="S45" s="667"/>
      <c r="T45" s="354"/>
      <c r="U45" s="354"/>
      <c r="V45" s="354"/>
      <c r="W45" s="354"/>
      <c r="X45" s="354"/>
      <c r="Y45" s="354"/>
      <c r="Z45" s="358"/>
      <c r="AA45" s="287"/>
      <c r="AB45" s="287"/>
    </row>
    <row r="46" spans="1:47" ht="22.5" customHeight="1" x14ac:dyDescent="0.4">
      <c r="A46" s="353"/>
      <c r="B46" s="354"/>
      <c r="C46" s="354"/>
      <c r="D46" s="667" t="s">
        <v>428</v>
      </c>
      <c r="E46" s="667"/>
      <c r="F46" s="668">
        <f>SUM(H28:J28)/SUM(H14:K28)</f>
        <v>1.0985238585650533E-2</v>
      </c>
      <c r="G46" s="668"/>
      <c r="H46" s="668"/>
      <c r="I46" s="668"/>
      <c r="J46" s="668"/>
      <c r="K46" s="669">
        <f>K43*F46*1000</f>
        <v>453.69035358736699</v>
      </c>
      <c r="L46" s="669"/>
      <c r="M46" s="669"/>
      <c r="N46" s="669"/>
      <c r="O46" s="669"/>
      <c r="P46" s="669"/>
      <c r="Q46" s="667" t="s">
        <v>573</v>
      </c>
      <c r="R46" s="667"/>
      <c r="S46" s="667"/>
      <c r="T46" s="354"/>
      <c r="U46" s="354"/>
      <c r="V46" s="354"/>
      <c r="W46" s="354"/>
      <c r="X46" s="354"/>
      <c r="Y46" s="354"/>
      <c r="Z46" s="358"/>
    </row>
    <row r="47" spans="1:47" ht="17.399999999999999" customHeight="1" x14ac:dyDescent="0.4">
      <c r="A47" s="353"/>
      <c r="B47" s="354"/>
      <c r="C47" s="354"/>
      <c r="D47" s="354"/>
      <c r="E47" s="354"/>
      <c r="F47" s="354"/>
      <c r="G47" s="354"/>
      <c r="H47" s="354"/>
      <c r="I47" s="354"/>
      <c r="J47" s="354"/>
      <c r="K47" s="354"/>
      <c r="L47" s="354"/>
      <c r="M47" s="354"/>
      <c r="N47" s="354"/>
      <c r="O47" s="354"/>
      <c r="P47" s="354"/>
      <c r="Q47" s="354"/>
      <c r="R47" s="354"/>
      <c r="S47" s="354"/>
      <c r="T47" s="354"/>
      <c r="U47" s="354"/>
      <c r="V47" s="354"/>
      <c r="W47" s="354"/>
      <c r="X47" s="354"/>
      <c r="Y47" s="354"/>
      <c r="Z47" s="358"/>
    </row>
    <row r="48" spans="1:47" ht="18" customHeight="1" thickBot="1" x14ac:dyDescent="0.45">
      <c r="A48" s="355"/>
      <c r="B48" s="356"/>
      <c r="C48" s="356"/>
      <c r="D48" s="356"/>
      <c r="E48" s="356"/>
      <c r="F48" s="356"/>
      <c r="G48" s="356"/>
      <c r="H48" s="356"/>
      <c r="I48" s="356"/>
      <c r="J48" s="356"/>
      <c r="K48" s="356"/>
      <c r="L48" s="356"/>
      <c r="M48" s="356"/>
      <c r="N48" s="356"/>
      <c r="O48" s="356"/>
      <c r="P48" s="356"/>
      <c r="Q48" s="356"/>
      <c r="R48" s="356"/>
      <c r="S48" s="356"/>
      <c r="T48" s="356"/>
      <c r="U48" s="356"/>
      <c r="V48" s="356"/>
      <c r="W48" s="356"/>
      <c r="X48" s="356"/>
      <c r="Y48" s="356"/>
      <c r="Z48" s="359"/>
    </row>
    <row r="49" spans="26:26" ht="17.399999999999999" customHeight="1" x14ac:dyDescent="0.4">
      <c r="Z49" s="280"/>
    </row>
    <row r="50" spans="26:26" ht="13.8" customHeight="1" x14ac:dyDescent="0.4">
      <c r="Z50" s="280"/>
    </row>
    <row r="51" spans="26:26" x14ac:dyDescent="0.4">
      <c r="Z51" s="280"/>
    </row>
    <row r="59" spans="26:26" x14ac:dyDescent="0.4">
      <c r="Z59" s="280"/>
    </row>
    <row r="60" spans="26:26" x14ac:dyDescent="0.4">
      <c r="Z60" s="280"/>
    </row>
    <row r="61" spans="26:26" x14ac:dyDescent="0.4">
      <c r="Z61" s="280"/>
    </row>
    <row r="62" spans="26:26" x14ac:dyDescent="0.4">
      <c r="Z62" s="280"/>
    </row>
    <row r="63" spans="26:26" x14ac:dyDescent="0.4">
      <c r="Z63" s="280"/>
    </row>
    <row r="64" spans="26:26" x14ac:dyDescent="0.4">
      <c r="Z64" s="280"/>
    </row>
    <row r="65" spans="26:26" x14ac:dyDescent="0.4">
      <c r="Z65" s="280"/>
    </row>
    <row r="66" spans="26:26" x14ac:dyDescent="0.4">
      <c r="Z66" s="280"/>
    </row>
    <row r="67" spans="26:26" x14ac:dyDescent="0.4">
      <c r="Z67" s="280"/>
    </row>
    <row r="68" spans="26:26" x14ac:dyDescent="0.4">
      <c r="Z68" s="280"/>
    </row>
    <row r="69" spans="26:26" x14ac:dyDescent="0.4">
      <c r="Z69" s="280"/>
    </row>
    <row r="70" spans="26:26" x14ac:dyDescent="0.4">
      <c r="Z70" s="280"/>
    </row>
    <row r="71" spans="26:26" x14ac:dyDescent="0.4">
      <c r="Z71" s="280"/>
    </row>
    <row r="72" spans="26:26" x14ac:dyDescent="0.4">
      <c r="Z72" s="280"/>
    </row>
    <row r="73" spans="26:26" x14ac:dyDescent="0.4">
      <c r="Z73" s="280"/>
    </row>
    <row r="74" spans="26:26" x14ac:dyDescent="0.4">
      <c r="Z74" s="280"/>
    </row>
    <row r="75" spans="26:26" x14ac:dyDescent="0.4">
      <c r="Z75" s="280"/>
    </row>
    <row r="76" spans="26:26" x14ac:dyDescent="0.4">
      <c r="Z76" s="280"/>
    </row>
    <row r="77" spans="26:26" x14ac:dyDescent="0.4">
      <c r="Z77" s="280"/>
    </row>
    <row r="78" spans="26:26" x14ac:dyDescent="0.4">
      <c r="Z78" s="280"/>
    </row>
    <row r="79" spans="26:26" x14ac:dyDescent="0.4">
      <c r="Z79" s="280"/>
    </row>
  </sheetData>
  <mergeCells count="293">
    <mergeCell ref="A3:Z3"/>
    <mergeCell ref="X5:Z5"/>
    <mergeCell ref="A6:Z6"/>
    <mergeCell ref="A7:B7"/>
    <mergeCell ref="C7:F7"/>
    <mergeCell ref="G7:M7"/>
    <mergeCell ref="N7:Q7"/>
    <mergeCell ref="R7:S8"/>
    <mergeCell ref="T7:V7"/>
    <mergeCell ref="W7:X7"/>
    <mergeCell ref="W8:X8"/>
    <mergeCell ref="A8:B8"/>
    <mergeCell ref="C8:D8"/>
    <mergeCell ref="E8:F8"/>
    <mergeCell ref="G8:M8"/>
    <mergeCell ref="N8:Q8"/>
    <mergeCell ref="T8:V8"/>
    <mergeCell ref="A11:A13"/>
    <mergeCell ref="B11:C13"/>
    <mergeCell ref="D11:E13"/>
    <mergeCell ref="F11:G13"/>
    <mergeCell ref="H11:V11"/>
    <mergeCell ref="W11:X13"/>
    <mergeCell ref="Q13:R13"/>
    <mergeCell ref="S13:T13"/>
    <mergeCell ref="U13:V13"/>
    <mergeCell ref="Y11:Z13"/>
    <mergeCell ref="H12:K12"/>
    <mergeCell ref="L12:N12"/>
    <mergeCell ref="O12:P12"/>
    <mergeCell ref="Q12:R12"/>
    <mergeCell ref="S12:T12"/>
    <mergeCell ref="U12:V12"/>
    <mergeCell ref="H13:K13"/>
    <mergeCell ref="L13:N13"/>
    <mergeCell ref="O13:P13"/>
    <mergeCell ref="B15:C15"/>
    <mergeCell ref="D15:E15"/>
    <mergeCell ref="F15:G15"/>
    <mergeCell ref="H15:K15"/>
    <mergeCell ref="L15:N15"/>
    <mergeCell ref="B14:C14"/>
    <mergeCell ref="D14:E14"/>
    <mergeCell ref="F14:G14"/>
    <mergeCell ref="H14:K14"/>
    <mergeCell ref="L14:N14"/>
    <mergeCell ref="O15:P15"/>
    <mergeCell ref="Q15:R15"/>
    <mergeCell ref="S15:T15"/>
    <mergeCell ref="U15:V15"/>
    <mergeCell ref="W15:X15"/>
    <mergeCell ref="Y15:Z15"/>
    <mergeCell ref="Q14:R14"/>
    <mergeCell ref="S14:T14"/>
    <mergeCell ref="U14:V14"/>
    <mergeCell ref="W14:X14"/>
    <mergeCell ref="Y14:Z14"/>
    <mergeCell ref="O14:P14"/>
    <mergeCell ref="B17:C17"/>
    <mergeCell ref="D17:E17"/>
    <mergeCell ref="F17:G17"/>
    <mergeCell ref="H17:K17"/>
    <mergeCell ref="L17:N17"/>
    <mergeCell ref="B16:C16"/>
    <mergeCell ref="D16:E16"/>
    <mergeCell ref="F16:G16"/>
    <mergeCell ref="H16:K16"/>
    <mergeCell ref="L16:N16"/>
    <mergeCell ref="O17:P17"/>
    <mergeCell ref="Q17:R17"/>
    <mergeCell ref="S17:T17"/>
    <mergeCell ref="U17:V17"/>
    <mergeCell ref="W17:X17"/>
    <mergeCell ref="Y17:Z17"/>
    <mergeCell ref="Q16:R16"/>
    <mergeCell ref="S16:T16"/>
    <mergeCell ref="U16:V16"/>
    <mergeCell ref="W16:X16"/>
    <mergeCell ref="Y16:Z16"/>
    <mergeCell ref="O16:P16"/>
    <mergeCell ref="B19:C19"/>
    <mergeCell ref="D19:E19"/>
    <mergeCell ref="F19:G19"/>
    <mergeCell ref="H19:K19"/>
    <mergeCell ref="L19:N19"/>
    <mergeCell ref="B18:C18"/>
    <mergeCell ref="D18:E18"/>
    <mergeCell ref="F18:G18"/>
    <mergeCell ref="H18:K18"/>
    <mergeCell ref="L18:N18"/>
    <mergeCell ref="O19:P19"/>
    <mergeCell ref="Q19:R19"/>
    <mergeCell ref="S19:T19"/>
    <mergeCell ref="U19:V19"/>
    <mergeCell ref="W19:X19"/>
    <mergeCell ref="Y19:Z19"/>
    <mergeCell ref="Q18:R18"/>
    <mergeCell ref="S18:T18"/>
    <mergeCell ref="U18:V18"/>
    <mergeCell ref="W18:X18"/>
    <mergeCell ref="Y18:Z18"/>
    <mergeCell ref="O18:P18"/>
    <mergeCell ref="B21:C21"/>
    <mergeCell ref="D21:E21"/>
    <mergeCell ref="F21:G21"/>
    <mergeCell ref="H21:K21"/>
    <mergeCell ref="L21:N21"/>
    <mergeCell ref="B20:C20"/>
    <mergeCell ref="D20:E20"/>
    <mergeCell ref="F20:G20"/>
    <mergeCell ref="H20:K20"/>
    <mergeCell ref="L20:N20"/>
    <mergeCell ref="O21:P21"/>
    <mergeCell ref="Q21:R21"/>
    <mergeCell ref="S21:T21"/>
    <mergeCell ref="U21:V21"/>
    <mergeCell ref="W21:X21"/>
    <mergeCell ref="Y21:Z21"/>
    <mergeCell ref="Q20:R20"/>
    <mergeCell ref="S20:T20"/>
    <mergeCell ref="U20:V20"/>
    <mergeCell ref="W20:X20"/>
    <mergeCell ref="Y20:Z20"/>
    <mergeCell ref="O20:P20"/>
    <mergeCell ref="B23:C23"/>
    <mergeCell ref="D23:E23"/>
    <mergeCell ref="F23:G23"/>
    <mergeCell ref="H23:K23"/>
    <mergeCell ref="L23:N23"/>
    <mergeCell ref="B22:C22"/>
    <mergeCell ref="D22:E22"/>
    <mergeCell ref="F22:G22"/>
    <mergeCell ref="H22:K22"/>
    <mergeCell ref="L22:N22"/>
    <mergeCell ref="O23:P23"/>
    <mergeCell ref="Q23:R23"/>
    <mergeCell ref="S23:T23"/>
    <mergeCell ref="U23:V23"/>
    <mergeCell ref="W23:X23"/>
    <mergeCell ref="Y23:Z23"/>
    <mergeCell ref="Q22:R22"/>
    <mergeCell ref="S22:T22"/>
    <mergeCell ref="U22:V22"/>
    <mergeCell ref="W22:X22"/>
    <mergeCell ref="Y22:Z22"/>
    <mergeCell ref="O22:P22"/>
    <mergeCell ref="B25:C25"/>
    <mergeCell ref="D25:E25"/>
    <mergeCell ref="F25:G25"/>
    <mergeCell ref="H25:K25"/>
    <mergeCell ref="L25:N25"/>
    <mergeCell ref="B24:C24"/>
    <mergeCell ref="D24:E24"/>
    <mergeCell ref="F24:G24"/>
    <mergeCell ref="H24:K24"/>
    <mergeCell ref="L24:N24"/>
    <mergeCell ref="O25:P25"/>
    <mergeCell ref="Q25:R25"/>
    <mergeCell ref="S25:T25"/>
    <mergeCell ref="U25:V25"/>
    <mergeCell ref="W25:X25"/>
    <mergeCell ref="Y25:Z25"/>
    <mergeCell ref="Q24:R24"/>
    <mergeCell ref="S24:T24"/>
    <mergeCell ref="U24:V24"/>
    <mergeCell ref="W24:X24"/>
    <mergeCell ref="Y24:Z24"/>
    <mergeCell ref="O24:P24"/>
    <mergeCell ref="B27:C27"/>
    <mergeCell ref="D27:E27"/>
    <mergeCell ref="F27:G27"/>
    <mergeCell ref="H27:K27"/>
    <mergeCell ref="L27:N27"/>
    <mergeCell ref="B26:C26"/>
    <mergeCell ref="D26:E26"/>
    <mergeCell ref="F26:G26"/>
    <mergeCell ref="H26:K26"/>
    <mergeCell ref="L26:N26"/>
    <mergeCell ref="O27:P27"/>
    <mergeCell ref="Q27:R27"/>
    <mergeCell ref="S27:T27"/>
    <mergeCell ref="U27:V27"/>
    <mergeCell ref="W27:X27"/>
    <mergeCell ref="Y27:Z27"/>
    <mergeCell ref="Q26:R26"/>
    <mergeCell ref="S26:T26"/>
    <mergeCell ref="U26:V26"/>
    <mergeCell ref="W26:X26"/>
    <mergeCell ref="Y26:Z26"/>
    <mergeCell ref="O26:P26"/>
    <mergeCell ref="B29:C29"/>
    <mergeCell ref="D29:E29"/>
    <mergeCell ref="F29:G29"/>
    <mergeCell ref="H29:K29"/>
    <mergeCell ref="L29:N29"/>
    <mergeCell ref="B28:C28"/>
    <mergeCell ref="D28:E28"/>
    <mergeCell ref="F28:G28"/>
    <mergeCell ref="H28:K28"/>
    <mergeCell ref="L28:N28"/>
    <mergeCell ref="O29:P29"/>
    <mergeCell ref="Q29:R29"/>
    <mergeCell ref="S29:T29"/>
    <mergeCell ref="U29:V29"/>
    <mergeCell ref="W29:X29"/>
    <mergeCell ref="Y29:Z29"/>
    <mergeCell ref="Q28:R28"/>
    <mergeCell ref="S28:T28"/>
    <mergeCell ref="U28:V28"/>
    <mergeCell ref="W28:X28"/>
    <mergeCell ref="Y28:Z28"/>
    <mergeCell ref="O28:P28"/>
    <mergeCell ref="S30:T30"/>
    <mergeCell ref="U30:V30"/>
    <mergeCell ref="W30:X30"/>
    <mergeCell ref="Y30:Z30"/>
    <mergeCell ref="A32:Y32"/>
    <mergeCell ref="A33:A34"/>
    <mergeCell ref="B33:C34"/>
    <mergeCell ref="D33:S33"/>
    <mergeCell ref="T33:X34"/>
    <mergeCell ref="Y33:Z34"/>
    <mergeCell ref="A30:E30"/>
    <mergeCell ref="F30:G30"/>
    <mergeCell ref="H30:K30"/>
    <mergeCell ref="L30:N30"/>
    <mergeCell ref="O30:P30"/>
    <mergeCell ref="Q30:R30"/>
    <mergeCell ref="D34:E34"/>
    <mergeCell ref="F34:G34"/>
    <mergeCell ref="H34:M34"/>
    <mergeCell ref="N34:P34"/>
    <mergeCell ref="Q34:S34"/>
    <mergeCell ref="B35:C35"/>
    <mergeCell ref="D35:E35"/>
    <mergeCell ref="F35:G35"/>
    <mergeCell ref="H35:M35"/>
    <mergeCell ref="N35:P35"/>
    <mergeCell ref="Q35:S35"/>
    <mergeCell ref="T35:X35"/>
    <mergeCell ref="Y35:Z35"/>
    <mergeCell ref="B36:C36"/>
    <mergeCell ref="D36:E36"/>
    <mergeCell ref="F36:G36"/>
    <mergeCell ref="H36:M36"/>
    <mergeCell ref="N36:P36"/>
    <mergeCell ref="Q36:S36"/>
    <mergeCell ref="T36:X36"/>
    <mergeCell ref="Y36:Z36"/>
    <mergeCell ref="B37:C37"/>
    <mergeCell ref="D37:E37"/>
    <mergeCell ref="F37:G37"/>
    <mergeCell ref="H37:M37"/>
    <mergeCell ref="N37:P37"/>
    <mergeCell ref="Q37:S37"/>
    <mergeCell ref="T37:X37"/>
    <mergeCell ref="Y37:Z37"/>
    <mergeCell ref="T38:X38"/>
    <mergeCell ref="Y38:Z38"/>
    <mergeCell ref="B39:C39"/>
    <mergeCell ref="D39:E39"/>
    <mergeCell ref="F39:G39"/>
    <mergeCell ref="H39:M39"/>
    <mergeCell ref="N39:P39"/>
    <mergeCell ref="Q39:S39"/>
    <mergeCell ref="T39:X39"/>
    <mergeCell ref="Y39:Z39"/>
    <mergeCell ref="B38:C38"/>
    <mergeCell ref="D38:E38"/>
    <mergeCell ref="F38:G38"/>
    <mergeCell ref="H38:M38"/>
    <mergeCell ref="N38:P38"/>
    <mergeCell ref="Q38:S38"/>
    <mergeCell ref="Y40:Z40"/>
    <mergeCell ref="K43:P43"/>
    <mergeCell ref="F44:J44"/>
    <mergeCell ref="K44:P44"/>
    <mergeCell ref="Q44:S44"/>
    <mergeCell ref="B40:C40"/>
    <mergeCell ref="D40:E40"/>
    <mergeCell ref="F40:G40"/>
    <mergeCell ref="H40:M40"/>
    <mergeCell ref="N40:P40"/>
    <mergeCell ref="Q40:S40"/>
    <mergeCell ref="D45:E45"/>
    <mergeCell ref="F45:J45"/>
    <mergeCell ref="K45:P45"/>
    <mergeCell ref="Q45:S45"/>
    <mergeCell ref="D46:E46"/>
    <mergeCell ref="F46:J46"/>
    <mergeCell ref="K46:P46"/>
    <mergeCell ref="Q46:S46"/>
    <mergeCell ref="T40:X40"/>
  </mergeCells>
  <phoneticPr fontId="2" type="noConversion"/>
  <printOptions horizontalCentered="1"/>
  <pageMargins left="0.15748031496062992" right="0.15748031496062992" top="0.43307086614173229" bottom="0.23622047244094491" header="0.51181102362204722" footer="0.27559055118110237"/>
  <pageSetup paperSize="9" scale="58" orientation="portrait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E9F6D-367F-4088-8F80-592AEED9B98F}">
  <sheetPr>
    <tabColor theme="4" tint="0.59999389629810485"/>
    <pageSetUpPr fitToPage="1"/>
  </sheetPr>
  <dimension ref="A1:U78"/>
  <sheetViews>
    <sheetView topLeftCell="A9" workbookViewId="0">
      <selection activeCell="F14" sqref="F13:G14"/>
    </sheetView>
  </sheetViews>
  <sheetFormatPr defaultColWidth="9" defaultRowHeight="15.6" x14ac:dyDescent="0.4"/>
  <cols>
    <col min="1" max="2" width="6.69921875" style="304" customWidth="1"/>
    <col min="3" max="3" width="7.69921875" style="304" customWidth="1"/>
    <col min="4" max="13" width="6.69921875" style="304" customWidth="1"/>
    <col min="14" max="17" width="5.69921875" style="304" customWidth="1"/>
    <col min="18" max="18" width="8.3984375" style="304" customWidth="1"/>
    <col min="19" max="19" width="6.69921875" style="304" customWidth="1"/>
    <col min="20" max="20" width="11" style="279" hidden="1" customWidth="1"/>
    <col min="21" max="21" width="4.5" style="279" customWidth="1"/>
    <col min="22" max="22" width="9" style="279"/>
    <col min="23" max="23" width="18.69921875" style="279" customWidth="1"/>
    <col min="24" max="16384" width="9" style="279"/>
  </cols>
  <sheetData>
    <row r="1" spans="1:21" ht="39.9" customHeight="1" x14ac:dyDescent="0.4"/>
    <row r="2" spans="1:21" ht="28.5" customHeight="1" x14ac:dyDescent="0.4">
      <c r="T2" s="282"/>
    </row>
    <row r="3" spans="1:21" ht="28.5" customHeight="1" x14ac:dyDescent="0.4">
      <c r="A3" s="379" t="s">
        <v>454</v>
      </c>
      <c r="B3" s="379"/>
      <c r="C3" s="379"/>
      <c r="D3" s="379"/>
      <c r="E3" s="379"/>
      <c r="F3" s="379"/>
      <c r="G3" s="379"/>
      <c r="H3" s="379"/>
      <c r="I3" s="379"/>
      <c r="J3" s="379"/>
      <c r="K3" s="379"/>
      <c r="L3" s="379"/>
      <c r="M3" s="379"/>
      <c r="N3" s="379"/>
      <c r="O3" s="379"/>
      <c r="P3" s="379"/>
      <c r="Q3" s="379"/>
      <c r="R3" s="379"/>
      <c r="S3" s="379"/>
      <c r="T3" s="282"/>
    </row>
    <row r="4" spans="1:21" ht="39.9" customHeight="1" x14ac:dyDescent="0.4">
      <c r="A4" s="305"/>
      <c r="B4" s="305"/>
      <c r="C4" s="305"/>
      <c r="D4" s="305"/>
      <c r="E4" s="305"/>
      <c r="F4" s="305"/>
      <c r="G4" s="305"/>
      <c r="H4" s="305"/>
      <c r="I4" s="305"/>
      <c r="J4" s="305"/>
      <c r="K4" s="305"/>
      <c r="L4" s="305"/>
      <c r="M4" s="305"/>
      <c r="N4" s="305"/>
      <c r="O4" s="305"/>
      <c r="P4" s="305"/>
      <c r="Q4" s="305"/>
      <c r="R4" s="305"/>
      <c r="S4" s="305"/>
      <c r="T4" s="282"/>
    </row>
    <row r="5" spans="1:21" ht="17.25" customHeight="1" x14ac:dyDescent="0.4">
      <c r="A5" s="306"/>
      <c r="B5" s="306"/>
      <c r="C5" s="306"/>
      <c r="D5" s="306"/>
      <c r="E5" s="306"/>
      <c r="F5" s="306"/>
      <c r="G5" s="306"/>
      <c r="H5" s="306"/>
      <c r="I5" s="306"/>
      <c r="J5" s="306"/>
      <c r="K5" s="306"/>
      <c r="L5" s="306"/>
      <c r="M5" s="306"/>
      <c r="N5" s="306"/>
      <c r="O5" s="306"/>
      <c r="P5" s="306"/>
      <c r="Q5" s="411">
        <v>46147</v>
      </c>
      <c r="R5" s="412"/>
      <c r="S5" s="412"/>
      <c r="T5" s="285"/>
    </row>
    <row r="6" spans="1:21" s="287" customFormat="1" ht="21.75" customHeight="1" thickBot="1" x14ac:dyDescent="0.45">
      <c r="A6" s="380" t="s">
        <v>392</v>
      </c>
      <c r="B6" s="380"/>
      <c r="C6" s="380"/>
      <c r="D6" s="380"/>
      <c r="E6" s="380"/>
      <c r="F6" s="380"/>
      <c r="G6" s="380"/>
      <c r="H6" s="380"/>
      <c r="I6" s="380"/>
      <c r="J6" s="380"/>
      <c r="K6" s="380"/>
      <c r="L6" s="380"/>
      <c r="M6" s="380"/>
      <c r="N6" s="380"/>
      <c r="O6" s="380"/>
      <c r="P6" s="380"/>
      <c r="Q6" s="380"/>
      <c r="R6" s="380"/>
      <c r="S6" s="380"/>
      <c r="T6" s="286"/>
    </row>
    <row r="7" spans="1:21" ht="27" customHeight="1" x14ac:dyDescent="0.4">
      <c r="A7" s="681" t="s">
        <v>393</v>
      </c>
      <c r="B7" s="682"/>
      <c r="C7" s="683" t="s">
        <v>411</v>
      </c>
      <c r="D7" s="684"/>
      <c r="E7" s="684"/>
      <c r="F7" s="685"/>
      <c r="G7" s="682" t="s">
        <v>412</v>
      </c>
      <c r="H7" s="686"/>
      <c r="I7" s="686"/>
      <c r="J7" s="687"/>
      <c r="K7" s="688"/>
      <c r="L7" s="689" t="s">
        <v>394</v>
      </c>
      <c r="M7" s="690"/>
      <c r="N7" s="687"/>
      <c r="O7" s="688"/>
      <c r="P7" s="693" t="s">
        <v>395</v>
      </c>
      <c r="Q7" s="693"/>
      <c r="R7" s="307">
        <v>2</v>
      </c>
      <c r="S7" s="300" t="s">
        <v>396</v>
      </c>
      <c r="T7" s="280"/>
      <c r="U7" s="288">
        <v>2</v>
      </c>
    </row>
    <row r="8" spans="1:21" ht="27" customHeight="1" thickBot="1" x14ac:dyDescent="0.45">
      <c r="A8" s="704" t="s">
        <v>397</v>
      </c>
      <c r="B8" s="705"/>
      <c r="C8" s="706" t="s">
        <v>456</v>
      </c>
      <c r="D8" s="707"/>
      <c r="E8" s="708" t="s">
        <v>457</v>
      </c>
      <c r="F8" s="709"/>
      <c r="G8" s="705" t="s">
        <v>398</v>
      </c>
      <c r="H8" s="710"/>
      <c r="I8" s="710"/>
      <c r="J8" s="711"/>
      <c r="K8" s="712"/>
      <c r="L8" s="691"/>
      <c r="M8" s="692"/>
      <c r="N8" s="713"/>
      <c r="O8" s="714"/>
      <c r="P8" s="701" t="s">
        <v>399</v>
      </c>
      <c r="Q8" s="701"/>
      <c r="R8" s="314">
        <f>R7*F29</f>
        <v>2168.6920521339125</v>
      </c>
      <c r="S8" s="296" t="s">
        <v>442</v>
      </c>
      <c r="T8" s="289"/>
    </row>
    <row r="9" spans="1:21" ht="20.100000000000001" customHeight="1" x14ac:dyDescent="0.4">
      <c r="A9" s="306"/>
      <c r="B9" s="306"/>
      <c r="C9" s="306"/>
      <c r="D9" s="306"/>
      <c r="E9" s="306"/>
      <c r="F9" s="306"/>
      <c r="G9" s="306"/>
      <c r="H9" s="306"/>
      <c r="I9" s="306"/>
      <c r="J9" s="306"/>
      <c r="K9" s="306"/>
      <c r="L9" s="306"/>
      <c r="M9" s="306"/>
      <c r="N9" s="306"/>
      <c r="O9" s="306"/>
      <c r="P9" s="306"/>
      <c r="Q9" s="306"/>
      <c r="R9" s="306"/>
      <c r="S9" s="306"/>
    </row>
    <row r="10" spans="1:21" ht="22.5" customHeight="1" thickBot="1" x14ac:dyDescent="0.45">
      <c r="A10" s="308" t="s">
        <v>400</v>
      </c>
      <c r="B10" s="308"/>
      <c r="C10" s="308"/>
      <c r="D10" s="308"/>
      <c r="E10" s="308"/>
      <c r="F10" s="308"/>
      <c r="G10" s="308"/>
      <c r="H10" s="308"/>
      <c r="I10" s="308"/>
      <c r="J10" s="308"/>
      <c r="K10" s="308"/>
      <c r="L10" s="308"/>
      <c r="M10" s="308"/>
      <c r="N10" s="308"/>
      <c r="O10" s="308"/>
      <c r="P10" s="308"/>
      <c r="Q10" s="308"/>
      <c r="R10" s="308"/>
      <c r="S10" s="308"/>
    </row>
    <row r="11" spans="1:21" ht="22.5" customHeight="1" x14ac:dyDescent="0.4">
      <c r="A11" s="681" t="s">
        <v>401</v>
      </c>
      <c r="B11" s="693" t="s">
        <v>415</v>
      </c>
      <c r="C11" s="693"/>
      <c r="D11" s="693" t="s">
        <v>402</v>
      </c>
      <c r="E11" s="693"/>
      <c r="F11" s="703" t="s">
        <v>460</v>
      </c>
      <c r="G11" s="693"/>
      <c r="H11" s="703" t="s">
        <v>461</v>
      </c>
      <c r="I11" s="693"/>
      <c r="J11" s="693" t="s">
        <v>414</v>
      </c>
      <c r="K11" s="693"/>
      <c r="L11" s="693"/>
      <c r="M11" s="693"/>
      <c r="N11" s="693"/>
      <c r="O11" s="693"/>
      <c r="P11" s="703" t="s">
        <v>443</v>
      </c>
      <c r="Q11" s="693"/>
      <c r="R11" s="693" t="s">
        <v>403</v>
      </c>
      <c r="S11" s="694"/>
    </row>
    <row r="12" spans="1:21" s="280" customFormat="1" ht="17.25" customHeight="1" x14ac:dyDescent="0.4">
      <c r="A12" s="702"/>
      <c r="B12" s="695"/>
      <c r="C12" s="695"/>
      <c r="D12" s="695"/>
      <c r="E12" s="695"/>
      <c r="F12" s="695"/>
      <c r="G12" s="695"/>
      <c r="H12" s="695"/>
      <c r="I12" s="695"/>
      <c r="J12" s="297">
        <v>1</v>
      </c>
      <c r="K12" s="297">
        <v>2</v>
      </c>
      <c r="L12" s="297">
        <v>3</v>
      </c>
      <c r="M12" s="297">
        <v>4</v>
      </c>
      <c r="N12" s="297">
        <v>5</v>
      </c>
      <c r="O12" s="297">
        <v>6</v>
      </c>
      <c r="P12" s="695"/>
      <c r="Q12" s="695"/>
      <c r="R12" s="695"/>
      <c r="S12" s="696"/>
    </row>
    <row r="13" spans="1:21" ht="22.5" customHeight="1" x14ac:dyDescent="0.4">
      <c r="A13" s="301">
        <v>1</v>
      </c>
      <c r="B13" s="697" t="s">
        <v>416</v>
      </c>
      <c r="C13" s="697"/>
      <c r="D13" s="697"/>
      <c r="E13" s="697"/>
      <c r="F13" s="698">
        <f>ROUND('물탱크 배합'!K5,-1)</f>
        <v>180</v>
      </c>
      <c r="G13" s="698"/>
      <c r="H13" s="699">
        <f>F13*$R$7</f>
        <v>360</v>
      </c>
      <c r="I13" s="699"/>
      <c r="J13" s="294"/>
      <c r="K13" s="294"/>
      <c r="L13" s="294"/>
      <c r="M13" s="294"/>
      <c r="N13" s="294"/>
      <c r="O13" s="294"/>
      <c r="P13" s="697">
        <v>400</v>
      </c>
      <c r="Q13" s="697"/>
      <c r="R13" s="697"/>
      <c r="S13" s="700"/>
    </row>
    <row r="14" spans="1:21" ht="22.5" customHeight="1" x14ac:dyDescent="0.4">
      <c r="A14" s="301">
        <v>2</v>
      </c>
      <c r="B14" s="697" t="s">
        <v>417</v>
      </c>
      <c r="C14" s="697"/>
      <c r="D14" s="697" t="s">
        <v>469</v>
      </c>
      <c r="E14" s="697"/>
      <c r="F14" s="698">
        <f>ROUND('물탱크 배합'!K6,-1)</f>
        <v>80</v>
      </c>
      <c r="G14" s="698"/>
      <c r="H14" s="715">
        <f t="shared" ref="H14:H24" si="0">F14*$R$7</f>
        <v>160</v>
      </c>
      <c r="I14" s="715"/>
      <c r="J14" s="294"/>
      <c r="K14" s="294"/>
      <c r="L14" s="294"/>
      <c r="M14" s="294"/>
      <c r="N14" s="294"/>
      <c r="O14" s="294"/>
      <c r="P14" s="697">
        <v>400</v>
      </c>
      <c r="Q14" s="697"/>
      <c r="R14" s="697"/>
      <c r="S14" s="700"/>
    </row>
    <row r="15" spans="1:21" ht="22.5" customHeight="1" x14ac:dyDescent="0.4">
      <c r="A15" s="301"/>
      <c r="B15" s="697"/>
      <c r="C15" s="697"/>
      <c r="D15" s="697"/>
      <c r="E15" s="697"/>
      <c r="F15" s="698"/>
      <c r="G15" s="698"/>
      <c r="H15" s="715">
        <f t="shared" si="0"/>
        <v>0</v>
      </c>
      <c r="I15" s="715"/>
      <c r="J15" s="294"/>
      <c r="K15" s="294"/>
      <c r="L15" s="294"/>
      <c r="M15" s="294"/>
      <c r="N15" s="294"/>
      <c r="O15" s="294"/>
      <c r="P15" s="697"/>
      <c r="Q15" s="697"/>
      <c r="R15" s="697"/>
      <c r="S15" s="700"/>
    </row>
    <row r="16" spans="1:21" ht="22.5" customHeight="1" x14ac:dyDescent="0.4">
      <c r="A16" s="301">
        <v>3</v>
      </c>
      <c r="B16" s="697" t="s">
        <v>419</v>
      </c>
      <c r="C16" s="697"/>
      <c r="D16" s="697" t="s">
        <v>413</v>
      </c>
      <c r="E16" s="697"/>
      <c r="F16" s="698">
        <f>ROUND('물탱크 배합'!K8,1)</f>
        <v>2.5</v>
      </c>
      <c r="G16" s="698"/>
      <c r="H16" s="717">
        <f t="shared" si="0"/>
        <v>5</v>
      </c>
      <c r="I16" s="717"/>
      <c r="J16" s="294"/>
      <c r="K16" s="294"/>
      <c r="L16" s="294"/>
      <c r="M16" s="294"/>
      <c r="N16" s="294"/>
      <c r="O16" s="294"/>
      <c r="P16" s="697">
        <v>400</v>
      </c>
      <c r="Q16" s="697"/>
      <c r="R16" s="697"/>
      <c r="S16" s="700"/>
    </row>
    <row r="17" spans="1:19" ht="22.5" customHeight="1" x14ac:dyDescent="0.4">
      <c r="A17" s="301">
        <v>4</v>
      </c>
      <c r="B17" s="697" t="s">
        <v>419</v>
      </c>
      <c r="C17" s="697"/>
      <c r="D17" s="715" t="s">
        <v>420</v>
      </c>
      <c r="E17" s="715"/>
      <c r="F17" s="716">
        <f>ROUND('물탱크 배합'!K9,1)</f>
        <v>2.5</v>
      </c>
      <c r="G17" s="716"/>
      <c r="H17" s="717">
        <f t="shared" si="0"/>
        <v>5</v>
      </c>
      <c r="I17" s="717"/>
      <c r="J17" s="294"/>
      <c r="K17" s="294"/>
      <c r="L17" s="294"/>
      <c r="M17" s="294"/>
      <c r="N17" s="294"/>
      <c r="O17" s="294"/>
      <c r="P17" s="697">
        <v>400</v>
      </c>
      <c r="Q17" s="697"/>
      <c r="R17" s="697"/>
      <c r="S17" s="700"/>
    </row>
    <row r="18" spans="1:19" ht="22.5" customHeight="1" x14ac:dyDescent="0.4">
      <c r="A18" s="301">
        <v>5</v>
      </c>
      <c r="B18" s="697" t="s">
        <v>418</v>
      </c>
      <c r="C18" s="697"/>
      <c r="D18" s="697" t="s">
        <v>404</v>
      </c>
      <c r="E18" s="697"/>
      <c r="F18" s="698">
        <f>ROUND('물탱크 배합'!K10,1)</f>
        <v>18.8</v>
      </c>
      <c r="G18" s="698"/>
      <c r="H18" s="717">
        <f t="shared" si="0"/>
        <v>37.6</v>
      </c>
      <c r="I18" s="717"/>
      <c r="J18" s="294"/>
      <c r="K18" s="294"/>
      <c r="L18" s="294"/>
      <c r="M18" s="294"/>
      <c r="N18" s="294"/>
      <c r="O18" s="294"/>
      <c r="P18" s="697">
        <v>400</v>
      </c>
      <c r="Q18" s="697"/>
      <c r="R18" s="697"/>
      <c r="S18" s="700"/>
    </row>
    <row r="19" spans="1:19" ht="22.5" customHeight="1" x14ac:dyDescent="0.4">
      <c r="A19" s="301">
        <v>6</v>
      </c>
      <c r="B19" s="697" t="s">
        <v>421</v>
      </c>
      <c r="C19" s="697"/>
      <c r="D19" s="697" t="s">
        <v>424</v>
      </c>
      <c r="E19" s="697"/>
      <c r="F19" s="698">
        <f>ROUND('물탱크 배합'!K11,1)</f>
        <v>3.8</v>
      </c>
      <c r="G19" s="698"/>
      <c r="H19" s="718">
        <f t="shared" si="0"/>
        <v>7.6</v>
      </c>
      <c r="I19" s="718"/>
      <c r="J19" s="294"/>
      <c r="K19" s="294"/>
      <c r="L19" s="294"/>
      <c r="M19" s="294"/>
      <c r="N19" s="294"/>
      <c r="O19" s="294"/>
      <c r="P19" s="697">
        <v>400</v>
      </c>
      <c r="Q19" s="697"/>
      <c r="R19" s="697"/>
      <c r="S19" s="700"/>
    </row>
    <row r="20" spans="1:19" ht="22.5" customHeight="1" x14ac:dyDescent="0.4">
      <c r="A20" s="301">
        <v>7</v>
      </c>
      <c r="B20" s="697" t="s">
        <v>422</v>
      </c>
      <c r="C20" s="697"/>
      <c r="D20" s="697" t="s">
        <v>425</v>
      </c>
      <c r="E20" s="697"/>
      <c r="F20" s="698">
        <f>ROUND('물탱크 배합'!K12,1)</f>
        <v>3</v>
      </c>
      <c r="G20" s="698"/>
      <c r="H20" s="717">
        <f t="shared" si="0"/>
        <v>6</v>
      </c>
      <c r="I20" s="717"/>
      <c r="J20" s="294"/>
      <c r="K20" s="294"/>
      <c r="L20" s="294"/>
      <c r="M20" s="294"/>
      <c r="N20" s="294"/>
      <c r="O20" s="294"/>
      <c r="P20" s="697">
        <v>400</v>
      </c>
      <c r="Q20" s="697"/>
      <c r="R20" s="697"/>
      <c r="S20" s="700"/>
    </row>
    <row r="21" spans="1:19" ht="22.5" customHeight="1" x14ac:dyDescent="0.4">
      <c r="A21" s="301">
        <v>8</v>
      </c>
      <c r="B21" s="697" t="s">
        <v>430</v>
      </c>
      <c r="C21" s="697"/>
      <c r="D21" s="697" t="s">
        <v>429</v>
      </c>
      <c r="E21" s="697"/>
      <c r="F21" s="698">
        <f>ROUND('물탱크 배합'!K14,1)</f>
        <v>3.8</v>
      </c>
      <c r="G21" s="698"/>
      <c r="H21" s="717">
        <f t="shared" si="0"/>
        <v>7.6</v>
      </c>
      <c r="I21" s="717"/>
      <c r="J21" s="294"/>
      <c r="K21" s="294"/>
      <c r="L21" s="294"/>
      <c r="M21" s="294"/>
      <c r="N21" s="294"/>
      <c r="O21" s="294"/>
      <c r="P21" s="697">
        <v>600</v>
      </c>
      <c r="Q21" s="697"/>
      <c r="R21" s="697"/>
      <c r="S21" s="700"/>
    </row>
    <row r="22" spans="1:19" ht="22.5" customHeight="1" x14ac:dyDescent="0.4">
      <c r="A22" s="301">
        <v>9</v>
      </c>
      <c r="B22" s="697" t="s">
        <v>417</v>
      </c>
      <c r="C22" s="697"/>
      <c r="D22" s="715" t="s">
        <v>405</v>
      </c>
      <c r="E22" s="715"/>
      <c r="F22" s="698">
        <f>ROUND('물탱크 배합'!K15,1)</f>
        <v>12.5</v>
      </c>
      <c r="G22" s="698"/>
      <c r="H22" s="717">
        <f t="shared" si="0"/>
        <v>25</v>
      </c>
      <c r="I22" s="717"/>
      <c r="J22" s="295"/>
      <c r="K22" s="295"/>
      <c r="L22" s="295"/>
      <c r="M22" s="295"/>
      <c r="N22" s="295"/>
      <c r="O22" s="295"/>
      <c r="P22" s="697">
        <v>600</v>
      </c>
      <c r="Q22" s="697"/>
      <c r="R22" s="697"/>
      <c r="S22" s="700"/>
    </row>
    <row r="23" spans="1:19" ht="22.5" customHeight="1" x14ac:dyDescent="0.4">
      <c r="A23" s="301">
        <v>10</v>
      </c>
      <c r="B23" s="697" t="s">
        <v>423</v>
      </c>
      <c r="C23" s="697"/>
      <c r="D23" s="715" t="s">
        <v>406</v>
      </c>
      <c r="E23" s="715"/>
      <c r="F23" s="698">
        <f>ROUND('물탱크 배합'!K16,1)</f>
        <v>12.5</v>
      </c>
      <c r="G23" s="698"/>
      <c r="H23" s="717">
        <f t="shared" si="0"/>
        <v>25</v>
      </c>
      <c r="I23" s="717"/>
      <c r="J23" s="295"/>
      <c r="K23" s="295"/>
      <c r="L23" s="295"/>
      <c r="M23" s="295"/>
      <c r="N23" s="295"/>
      <c r="O23" s="295"/>
      <c r="P23" s="697">
        <v>600</v>
      </c>
      <c r="Q23" s="697"/>
      <c r="R23" s="697"/>
      <c r="S23" s="700"/>
    </row>
    <row r="24" spans="1:19" ht="22.5" customHeight="1" x14ac:dyDescent="0.4">
      <c r="A24" s="301">
        <v>11</v>
      </c>
      <c r="B24" s="697" t="s">
        <v>426</v>
      </c>
      <c r="C24" s="697"/>
      <c r="D24" s="715" t="s">
        <v>407</v>
      </c>
      <c r="E24" s="715"/>
      <c r="F24" s="698">
        <f>ROUND('물탱크 배합'!K18,-1)</f>
        <v>430</v>
      </c>
      <c r="G24" s="698"/>
      <c r="H24" s="717">
        <f t="shared" si="0"/>
        <v>860</v>
      </c>
      <c r="I24" s="717"/>
      <c r="J24" s="295"/>
      <c r="K24" s="295"/>
      <c r="L24" s="295"/>
      <c r="M24" s="295"/>
      <c r="N24" s="295"/>
      <c r="O24" s="295"/>
      <c r="P24" s="715" t="s">
        <v>472</v>
      </c>
      <c r="Q24" s="715"/>
      <c r="R24" s="676" t="s">
        <v>495</v>
      </c>
      <c r="S24" s="677"/>
    </row>
    <row r="25" spans="1:19" ht="22.5" customHeight="1" x14ac:dyDescent="0.4">
      <c r="A25" s="309"/>
      <c r="B25" s="715"/>
      <c r="C25" s="715"/>
      <c r="D25" s="715"/>
      <c r="E25" s="715"/>
      <c r="F25" s="715"/>
      <c r="G25" s="715"/>
      <c r="H25" s="717"/>
      <c r="I25" s="717"/>
      <c r="J25" s="298"/>
      <c r="K25" s="298"/>
      <c r="L25" s="298"/>
      <c r="M25" s="298"/>
      <c r="N25" s="298"/>
      <c r="O25" s="298"/>
      <c r="P25" s="715">
        <v>150</v>
      </c>
      <c r="Q25" s="715"/>
      <c r="R25" s="719" t="s">
        <v>458</v>
      </c>
      <c r="S25" s="720"/>
    </row>
    <row r="26" spans="1:19" ht="22.5" customHeight="1" x14ac:dyDescent="0.4">
      <c r="A26" s="301">
        <v>12</v>
      </c>
      <c r="B26" s="697" t="s">
        <v>427</v>
      </c>
      <c r="C26" s="697"/>
      <c r="D26" s="715" t="s">
        <v>408</v>
      </c>
      <c r="E26" s="715"/>
      <c r="F26" s="721">
        <f>'물탱크 배합'!K19</f>
        <v>3.7567084078711992</v>
      </c>
      <c r="G26" s="721"/>
      <c r="H26" s="717">
        <f>F26*R7</f>
        <v>7.5134168157423984</v>
      </c>
      <c r="I26" s="717"/>
      <c r="J26" s="295"/>
      <c r="K26" s="295"/>
      <c r="L26" s="295"/>
      <c r="M26" s="295"/>
      <c r="N26" s="295"/>
      <c r="O26" s="295"/>
      <c r="P26" s="722">
        <f>F26/SUM(F13:G24)</f>
        <v>5.0129549077544688E-3</v>
      </c>
      <c r="Q26" s="722"/>
      <c r="R26" s="725"/>
      <c r="S26" s="726"/>
    </row>
    <row r="27" spans="1:19" ht="22.5" customHeight="1" x14ac:dyDescent="0.4">
      <c r="A27" s="301">
        <v>13</v>
      </c>
      <c r="B27" s="697" t="s">
        <v>428</v>
      </c>
      <c r="C27" s="697"/>
      <c r="D27" s="715" t="s">
        <v>409</v>
      </c>
      <c r="E27" s="715"/>
      <c r="F27" s="721">
        <f>'물탱크 배합'!K20</f>
        <v>10.017889087656529</v>
      </c>
      <c r="G27" s="721"/>
      <c r="H27" s="718">
        <f>F27*R7</f>
        <v>20.035778175313059</v>
      </c>
      <c r="I27" s="718"/>
      <c r="J27" s="298"/>
      <c r="K27" s="298"/>
      <c r="L27" s="298"/>
      <c r="M27" s="298"/>
      <c r="N27" s="298"/>
      <c r="O27" s="295"/>
      <c r="P27" s="722">
        <f>F27/SUM(F13:G24)</f>
        <v>1.3367879754011915E-2</v>
      </c>
      <c r="Q27" s="722"/>
      <c r="R27" s="723"/>
      <c r="S27" s="724"/>
    </row>
    <row r="28" spans="1:19" ht="22.5" customHeight="1" x14ac:dyDescent="0.4">
      <c r="A28" s="301">
        <v>14</v>
      </c>
      <c r="B28" s="697" t="s">
        <v>440</v>
      </c>
      <c r="C28" s="697"/>
      <c r="D28" s="715" t="s">
        <v>441</v>
      </c>
      <c r="E28" s="715"/>
      <c r="F28" s="733">
        <v>0.3</v>
      </c>
      <c r="G28" s="733"/>
      <c r="H28" s="715"/>
      <c r="I28" s="715"/>
      <c r="J28" s="299"/>
      <c r="K28" s="299"/>
      <c r="L28" s="299"/>
      <c r="M28" s="299"/>
      <c r="N28" s="299"/>
      <c r="O28" s="295"/>
      <c r="P28" s="715"/>
      <c r="Q28" s="715"/>
      <c r="R28" s="723"/>
      <c r="S28" s="724"/>
    </row>
    <row r="29" spans="1:19" ht="22.5" customHeight="1" thickBot="1" x14ac:dyDescent="0.45">
      <c r="A29" s="727" t="s">
        <v>410</v>
      </c>
      <c r="B29" s="728"/>
      <c r="C29" s="728"/>
      <c r="D29" s="728"/>
      <c r="E29" s="728"/>
      <c r="F29" s="729">
        <f>SUM(F13:G27)+P29</f>
        <v>1084.3460260669563</v>
      </c>
      <c r="G29" s="729"/>
      <c r="H29" s="728"/>
      <c r="I29" s="728"/>
      <c r="J29" s="303"/>
      <c r="K29" s="303"/>
      <c r="L29" s="303"/>
      <c r="M29" s="303"/>
      <c r="N29" s="303"/>
      <c r="O29" s="302"/>
      <c r="P29" s="730">
        <f>SUM(F13:G25)/(1-F28)*F28</f>
        <v>321.17142857142858</v>
      </c>
      <c r="Q29" s="730"/>
      <c r="R29" s="731"/>
      <c r="S29" s="732"/>
    </row>
    <row r="30" spans="1:19" ht="20.100000000000001" customHeight="1" x14ac:dyDescent="0.4">
      <c r="A30" s="306"/>
      <c r="B30" s="306"/>
      <c r="C30" s="306"/>
      <c r="D30" s="306"/>
      <c r="E30" s="306"/>
      <c r="F30" s="306"/>
      <c r="G30" s="306"/>
      <c r="H30" s="310"/>
      <c r="I30" s="310"/>
      <c r="J30" s="310"/>
      <c r="K30" s="310"/>
      <c r="L30" s="310"/>
      <c r="M30" s="310"/>
      <c r="N30" s="310"/>
      <c r="O30" s="310"/>
      <c r="P30" s="310"/>
      <c r="Q30" s="310"/>
      <c r="R30" s="306"/>
      <c r="S30" s="310"/>
    </row>
    <row r="31" spans="1:19" ht="23.25" customHeight="1" thickBot="1" x14ac:dyDescent="0.45">
      <c r="A31" s="380" t="s">
        <v>459</v>
      </c>
      <c r="B31" s="380"/>
      <c r="C31" s="380"/>
      <c r="D31" s="380"/>
      <c r="E31" s="380"/>
      <c r="F31" s="380"/>
      <c r="G31" s="380"/>
      <c r="H31" s="380"/>
      <c r="I31" s="380"/>
      <c r="J31" s="380"/>
      <c r="K31" s="380"/>
      <c r="L31" s="380"/>
      <c r="M31" s="380"/>
      <c r="N31" s="380"/>
      <c r="O31" s="380"/>
      <c r="P31" s="380"/>
      <c r="Q31" s="380"/>
      <c r="R31" s="380"/>
      <c r="S31" s="308"/>
    </row>
    <row r="32" spans="1:19" ht="22.5" customHeight="1" x14ac:dyDescent="0.4">
      <c r="A32" s="681" t="s">
        <v>401</v>
      </c>
      <c r="B32" s="703" t="s">
        <v>432</v>
      </c>
      <c r="C32" s="693"/>
      <c r="D32" s="693" t="s">
        <v>439</v>
      </c>
      <c r="E32" s="693"/>
      <c r="F32" s="693"/>
      <c r="G32" s="693"/>
      <c r="H32" s="693"/>
      <c r="I32" s="693"/>
      <c r="J32" s="693"/>
      <c r="K32" s="693"/>
      <c r="L32" s="693"/>
      <c r="M32" s="693"/>
      <c r="N32" s="693" t="s">
        <v>444</v>
      </c>
      <c r="O32" s="693"/>
      <c r="P32" s="693"/>
      <c r="Q32" s="693"/>
      <c r="R32" s="693" t="s">
        <v>403</v>
      </c>
      <c r="S32" s="694"/>
    </row>
    <row r="33" spans="1:21" ht="22.5" customHeight="1" x14ac:dyDescent="0.4">
      <c r="A33" s="702"/>
      <c r="B33" s="695"/>
      <c r="C33" s="695"/>
      <c r="D33" s="695" t="s">
        <v>434</v>
      </c>
      <c r="E33" s="695"/>
      <c r="F33" s="695" t="s">
        <v>435</v>
      </c>
      <c r="G33" s="695"/>
      <c r="H33" s="695" t="s">
        <v>436</v>
      </c>
      <c r="I33" s="695"/>
      <c r="J33" s="695" t="s">
        <v>437</v>
      </c>
      <c r="K33" s="695"/>
      <c r="L33" s="695" t="s">
        <v>438</v>
      </c>
      <c r="M33" s="695"/>
      <c r="N33" s="695"/>
      <c r="O33" s="695"/>
      <c r="P33" s="695"/>
      <c r="Q33" s="695"/>
      <c r="R33" s="695"/>
      <c r="S33" s="696"/>
    </row>
    <row r="34" spans="1:21" ht="22.5" customHeight="1" x14ac:dyDescent="0.4">
      <c r="A34" s="301">
        <v>1</v>
      </c>
      <c r="B34" s="676" t="s">
        <v>433</v>
      </c>
      <c r="C34" s="676"/>
      <c r="D34" s="676" t="s">
        <v>448</v>
      </c>
      <c r="E34" s="676"/>
      <c r="F34" s="676" t="s">
        <v>449</v>
      </c>
      <c r="G34" s="676"/>
      <c r="H34" s="676" t="s">
        <v>450</v>
      </c>
      <c r="I34" s="676"/>
      <c r="J34" s="676" t="s">
        <v>451</v>
      </c>
      <c r="K34" s="676"/>
      <c r="L34" s="676" t="s">
        <v>452</v>
      </c>
      <c r="M34" s="676"/>
      <c r="N34" s="676" t="s">
        <v>455</v>
      </c>
      <c r="O34" s="676"/>
      <c r="P34" s="676"/>
      <c r="Q34" s="676"/>
      <c r="R34" s="676" t="s">
        <v>453</v>
      </c>
      <c r="S34" s="677"/>
    </row>
    <row r="35" spans="1:21" ht="22.5" customHeight="1" x14ac:dyDescent="0.4">
      <c r="A35" s="301">
        <v>2</v>
      </c>
      <c r="B35" s="697"/>
      <c r="C35" s="697"/>
      <c r="D35" s="697"/>
      <c r="E35" s="697"/>
      <c r="F35" s="697"/>
      <c r="G35" s="697"/>
      <c r="H35" s="697"/>
      <c r="I35" s="697"/>
      <c r="J35" s="697"/>
      <c r="K35" s="697"/>
      <c r="L35" s="697"/>
      <c r="M35" s="697"/>
      <c r="N35" s="698"/>
      <c r="O35" s="698"/>
      <c r="P35" s="698"/>
      <c r="Q35" s="698"/>
      <c r="R35" s="697"/>
      <c r="S35" s="700"/>
    </row>
    <row r="36" spans="1:21" ht="22.5" customHeight="1" x14ac:dyDescent="0.4">
      <c r="A36" s="301">
        <v>3</v>
      </c>
      <c r="B36" s="697"/>
      <c r="C36" s="697"/>
      <c r="D36" s="697"/>
      <c r="E36" s="697"/>
      <c r="F36" s="697"/>
      <c r="G36" s="697"/>
      <c r="H36" s="697"/>
      <c r="I36" s="697"/>
      <c r="J36" s="697"/>
      <c r="K36" s="697"/>
      <c r="L36" s="697"/>
      <c r="M36" s="697"/>
      <c r="N36" s="698"/>
      <c r="O36" s="698"/>
      <c r="P36" s="698"/>
      <c r="Q36" s="698"/>
      <c r="R36" s="697"/>
      <c r="S36" s="700"/>
    </row>
    <row r="37" spans="1:21" ht="22.5" customHeight="1" x14ac:dyDescent="0.4">
      <c r="A37" s="301">
        <v>4</v>
      </c>
      <c r="B37" s="697"/>
      <c r="C37" s="697"/>
      <c r="D37" s="697"/>
      <c r="E37" s="697"/>
      <c r="F37" s="697"/>
      <c r="G37" s="697"/>
      <c r="H37" s="697"/>
      <c r="I37" s="697"/>
      <c r="J37" s="697"/>
      <c r="K37" s="697"/>
      <c r="L37" s="697"/>
      <c r="M37" s="697"/>
      <c r="N37" s="697"/>
      <c r="O37" s="697"/>
      <c r="P37" s="697"/>
      <c r="Q37" s="697"/>
      <c r="R37" s="697"/>
      <c r="S37" s="700"/>
    </row>
    <row r="38" spans="1:21" ht="22.5" customHeight="1" x14ac:dyDescent="0.4">
      <c r="A38" s="301">
        <v>5</v>
      </c>
      <c r="B38" s="697"/>
      <c r="C38" s="697"/>
      <c r="D38" s="697"/>
      <c r="E38" s="697"/>
      <c r="F38" s="697"/>
      <c r="G38" s="697"/>
      <c r="H38" s="697"/>
      <c r="I38" s="697"/>
      <c r="J38" s="697"/>
      <c r="K38" s="697"/>
      <c r="L38" s="697"/>
      <c r="M38" s="697"/>
      <c r="N38" s="697"/>
      <c r="O38" s="697"/>
      <c r="P38" s="697"/>
      <c r="Q38" s="697"/>
      <c r="R38" s="697"/>
      <c r="S38" s="700"/>
    </row>
    <row r="39" spans="1:21" ht="22.5" customHeight="1" thickBot="1" x14ac:dyDescent="0.45">
      <c r="A39" s="293">
        <v>6</v>
      </c>
      <c r="B39" s="728"/>
      <c r="C39" s="728"/>
      <c r="D39" s="731"/>
      <c r="E39" s="731"/>
      <c r="F39" s="731"/>
      <c r="G39" s="731"/>
      <c r="H39" s="731"/>
      <c r="I39" s="731"/>
      <c r="J39" s="731"/>
      <c r="K39" s="731"/>
      <c r="L39" s="731"/>
      <c r="M39" s="731"/>
      <c r="N39" s="731"/>
      <c r="O39" s="731"/>
      <c r="P39" s="731"/>
      <c r="Q39" s="731"/>
      <c r="R39" s="731"/>
      <c r="S39" s="732"/>
    </row>
    <row r="40" spans="1:21" s="280" customFormat="1" ht="24" customHeight="1" x14ac:dyDescent="0.4">
      <c r="A40" s="311"/>
      <c r="B40" s="306"/>
      <c r="C40" s="306"/>
      <c r="D40" s="306"/>
      <c r="E40" s="306"/>
      <c r="F40" s="306"/>
      <c r="G40" s="306"/>
      <c r="H40" s="306"/>
      <c r="I40" s="312"/>
      <c r="J40" s="312"/>
      <c r="K40" s="312"/>
      <c r="L40" s="312"/>
      <c r="M40" s="312"/>
      <c r="N40" s="312"/>
      <c r="O40" s="312"/>
      <c r="P40" s="312"/>
      <c r="Q40" s="312"/>
      <c r="R40" s="312"/>
      <c r="S40" s="312"/>
    </row>
    <row r="41" spans="1:21" ht="24.9" customHeight="1" thickBot="1" x14ac:dyDescent="0.45">
      <c r="A41" s="313" t="s">
        <v>445</v>
      </c>
      <c r="B41" s="313"/>
      <c r="C41" s="313"/>
      <c r="D41" s="313"/>
      <c r="E41" s="313"/>
      <c r="F41" s="313"/>
      <c r="G41" s="313"/>
      <c r="H41" s="313"/>
      <c r="I41" s="313"/>
      <c r="J41" s="313"/>
      <c r="K41" s="313"/>
      <c r="L41" s="313"/>
      <c r="M41" s="313"/>
      <c r="N41" s="313"/>
      <c r="O41" s="313"/>
      <c r="P41" s="313"/>
      <c r="Q41" s="313"/>
      <c r="R41" s="313"/>
      <c r="S41" s="313"/>
      <c r="T41" s="287"/>
      <c r="U41" s="287"/>
    </row>
    <row r="42" spans="1:21" ht="24.9" customHeight="1" x14ac:dyDescent="0.4">
      <c r="A42" s="734"/>
      <c r="B42" s="735"/>
      <c r="C42" s="735"/>
      <c r="D42" s="735"/>
      <c r="E42" s="735"/>
      <c r="F42" s="735"/>
      <c r="G42" s="735"/>
      <c r="H42" s="735"/>
      <c r="I42" s="735"/>
      <c r="J42" s="735"/>
      <c r="K42" s="735"/>
      <c r="L42" s="735"/>
      <c r="M42" s="735"/>
      <c r="N42" s="735"/>
      <c r="O42" s="735"/>
      <c r="P42" s="735"/>
      <c r="Q42" s="735"/>
      <c r="R42" s="735"/>
      <c r="S42" s="736"/>
      <c r="T42" s="287"/>
      <c r="U42" s="287"/>
    </row>
    <row r="43" spans="1:21" ht="20.100000000000001" customHeight="1" x14ac:dyDescent="0.4">
      <c r="A43" s="737"/>
      <c r="B43" s="738"/>
      <c r="C43" s="738"/>
      <c r="D43" s="738"/>
      <c r="E43" s="738"/>
      <c r="F43" s="738"/>
      <c r="G43" s="738"/>
      <c r="H43" s="738"/>
      <c r="I43" s="738"/>
      <c r="J43" s="738"/>
      <c r="K43" s="738"/>
      <c r="L43" s="738"/>
      <c r="M43" s="738"/>
      <c r="N43" s="738"/>
      <c r="O43" s="738"/>
      <c r="P43" s="738"/>
      <c r="Q43" s="738"/>
      <c r="R43" s="738"/>
      <c r="S43" s="739"/>
      <c r="T43" s="287"/>
      <c r="U43" s="287"/>
    </row>
    <row r="44" spans="1:21" ht="23.25" customHeight="1" x14ac:dyDescent="0.4">
      <c r="A44" s="737"/>
      <c r="B44" s="738"/>
      <c r="C44" s="738"/>
      <c r="D44" s="738"/>
      <c r="E44" s="738"/>
      <c r="F44" s="738"/>
      <c r="G44" s="738"/>
      <c r="H44" s="738"/>
      <c r="I44" s="738"/>
      <c r="J44" s="738"/>
      <c r="K44" s="738"/>
      <c r="L44" s="738"/>
      <c r="M44" s="738"/>
      <c r="N44" s="738"/>
      <c r="O44" s="738"/>
      <c r="P44" s="738"/>
      <c r="Q44" s="738"/>
      <c r="R44" s="738"/>
      <c r="S44" s="739"/>
      <c r="T44" s="287"/>
      <c r="U44" s="287"/>
    </row>
    <row r="45" spans="1:21" ht="22.5" customHeight="1" x14ac:dyDescent="0.4">
      <c r="A45" s="737"/>
      <c r="B45" s="738"/>
      <c r="C45" s="738"/>
      <c r="D45" s="738"/>
      <c r="E45" s="738"/>
      <c r="F45" s="738"/>
      <c r="G45" s="738"/>
      <c r="H45" s="738"/>
      <c r="I45" s="738"/>
      <c r="J45" s="738"/>
      <c r="K45" s="738"/>
      <c r="L45" s="738"/>
      <c r="M45" s="738"/>
      <c r="N45" s="738"/>
      <c r="O45" s="738"/>
      <c r="P45" s="738"/>
      <c r="Q45" s="738"/>
      <c r="R45" s="738"/>
      <c r="S45" s="739"/>
    </row>
    <row r="46" spans="1:21" ht="13.2" x14ac:dyDescent="0.4">
      <c r="A46" s="737"/>
      <c r="B46" s="738"/>
      <c r="C46" s="738"/>
      <c r="D46" s="738"/>
      <c r="E46" s="738"/>
      <c r="F46" s="738"/>
      <c r="G46" s="738"/>
      <c r="H46" s="738"/>
      <c r="I46" s="738"/>
      <c r="J46" s="738"/>
      <c r="K46" s="738"/>
      <c r="L46" s="738"/>
      <c r="M46" s="738"/>
      <c r="N46" s="738"/>
      <c r="O46" s="738"/>
      <c r="P46" s="738"/>
      <c r="Q46" s="738"/>
      <c r="R46" s="738"/>
      <c r="S46" s="739"/>
    </row>
    <row r="47" spans="1:21" ht="13.8" thickBot="1" x14ac:dyDescent="0.45">
      <c r="A47" s="740"/>
      <c r="B47" s="741"/>
      <c r="C47" s="741"/>
      <c r="D47" s="741"/>
      <c r="E47" s="741"/>
      <c r="F47" s="741"/>
      <c r="G47" s="741"/>
      <c r="H47" s="741"/>
      <c r="I47" s="741"/>
      <c r="J47" s="741"/>
      <c r="K47" s="741"/>
      <c r="L47" s="741"/>
      <c r="M47" s="741"/>
      <c r="N47" s="741"/>
      <c r="O47" s="741"/>
      <c r="P47" s="741"/>
      <c r="Q47" s="741"/>
      <c r="R47" s="741"/>
      <c r="S47" s="742"/>
    </row>
    <row r="48" spans="1:21" x14ac:dyDescent="0.4">
      <c r="S48" s="312"/>
    </row>
    <row r="49" spans="19:19" x14ac:dyDescent="0.4">
      <c r="S49" s="312"/>
    </row>
    <row r="50" spans="19:19" x14ac:dyDescent="0.4">
      <c r="S50" s="312"/>
    </row>
    <row r="58" spans="19:19" x14ac:dyDescent="0.4">
      <c r="S58" s="312"/>
    </row>
    <row r="59" spans="19:19" x14ac:dyDescent="0.4">
      <c r="S59" s="312"/>
    </row>
    <row r="60" spans="19:19" x14ac:dyDescent="0.4">
      <c r="S60" s="312"/>
    </row>
    <row r="61" spans="19:19" x14ac:dyDescent="0.4">
      <c r="S61" s="312"/>
    </row>
    <row r="62" spans="19:19" x14ac:dyDescent="0.4">
      <c r="S62" s="312"/>
    </row>
    <row r="63" spans="19:19" x14ac:dyDescent="0.4">
      <c r="S63" s="312"/>
    </row>
    <row r="64" spans="19:19" x14ac:dyDescent="0.4">
      <c r="S64" s="312"/>
    </row>
    <row r="65" spans="19:19" x14ac:dyDescent="0.4">
      <c r="S65" s="312"/>
    </row>
    <row r="66" spans="19:19" x14ac:dyDescent="0.4">
      <c r="S66" s="312"/>
    </row>
    <row r="67" spans="19:19" x14ac:dyDescent="0.4">
      <c r="S67" s="312"/>
    </row>
    <row r="68" spans="19:19" x14ac:dyDescent="0.4">
      <c r="S68" s="312"/>
    </row>
    <row r="69" spans="19:19" x14ac:dyDescent="0.4">
      <c r="S69" s="312"/>
    </row>
    <row r="70" spans="19:19" x14ac:dyDescent="0.4">
      <c r="S70" s="312"/>
    </row>
    <row r="71" spans="19:19" x14ac:dyDescent="0.4">
      <c r="S71" s="312"/>
    </row>
    <row r="72" spans="19:19" x14ac:dyDescent="0.4">
      <c r="S72" s="312"/>
    </row>
    <row r="73" spans="19:19" x14ac:dyDescent="0.4">
      <c r="S73" s="312"/>
    </row>
    <row r="74" spans="19:19" x14ac:dyDescent="0.4">
      <c r="S74" s="312"/>
    </row>
    <row r="75" spans="19:19" x14ac:dyDescent="0.4">
      <c r="S75" s="312"/>
    </row>
    <row r="76" spans="19:19" x14ac:dyDescent="0.4">
      <c r="S76" s="312"/>
    </row>
    <row r="77" spans="19:19" x14ac:dyDescent="0.4">
      <c r="S77" s="312"/>
    </row>
    <row r="78" spans="19:19" x14ac:dyDescent="0.4">
      <c r="S78" s="312"/>
    </row>
  </sheetData>
  <mergeCells count="186">
    <mergeCell ref="A42:S47"/>
    <mergeCell ref="N38:Q38"/>
    <mergeCell ref="R38:S38"/>
    <mergeCell ref="B39:C39"/>
    <mergeCell ref="D39:E39"/>
    <mergeCell ref="F39:G39"/>
    <mergeCell ref="H39:I39"/>
    <mergeCell ref="J39:K39"/>
    <mergeCell ref="L39:M39"/>
    <mergeCell ref="N39:Q39"/>
    <mergeCell ref="R39:S39"/>
    <mergeCell ref="B38:C38"/>
    <mergeCell ref="D38:E38"/>
    <mergeCell ref="F38:G38"/>
    <mergeCell ref="H38:I38"/>
    <mergeCell ref="J38:K38"/>
    <mergeCell ref="L38:M38"/>
    <mergeCell ref="N36:Q36"/>
    <mergeCell ref="R36:S36"/>
    <mergeCell ref="B37:C37"/>
    <mergeCell ref="D37:E37"/>
    <mergeCell ref="F37:G37"/>
    <mergeCell ref="H37:I37"/>
    <mergeCell ref="J37:K37"/>
    <mergeCell ref="L37:M37"/>
    <mergeCell ref="N37:Q37"/>
    <mergeCell ref="R37:S37"/>
    <mergeCell ref="B36:C36"/>
    <mergeCell ref="D36:E36"/>
    <mergeCell ref="F36:G36"/>
    <mergeCell ref="H36:I36"/>
    <mergeCell ref="J36:K36"/>
    <mergeCell ref="L36:M36"/>
    <mergeCell ref="N34:Q34"/>
    <mergeCell ref="R34:S34"/>
    <mergeCell ref="B35:C35"/>
    <mergeCell ref="D35:E35"/>
    <mergeCell ref="F35:G35"/>
    <mergeCell ref="H35:I35"/>
    <mergeCell ref="J35:K35"/>
    <mergeCell ref="L35:M35"/>
    <mergeCell ref="N35:Q35"/>
    <mergeCell ref="R35:S35"/>
    <mergeCell ref="B34:C34"/>
    <mergeCell ref="D34:E34"/>
    <mergeCell ref="F34:G34"/>
    <mergeCell ref="H34:I34"/>
    <mergeCell ref="J34:K34"/>
    <mergeCell ref="L34:M34"/>
    <mergeCell ref="A32:A33"/>
    <mergeCell ref="B32:C33"/>
    <mergeCell ref="D32:M32"/>
    <mergeCell ref="N32:Q33"/>
    <mergeCell ref="R32:S33"/>
    <mergeCell ref="D33:E33"/>
    <mergeCell ref="F33:G33"/>
    <mergeCell ref="H33:I33"/>
    <mergeCell ref="J33:K33"/>
    <mergeCell ref="L33:M33"/>
    <mergeCell ref="A29:E29"/>
    <mergeCell ref="F29:G29"/>
    <mergeCell ref="H29:I29"/>
    <mergeCell ref="P29:Q29"/>
    <mergeCell ref="R29:S29"/>
    <mergeCell ref="A31:R31"/>
    <mergeCell ref="B28:C28"/>
    <mergeCell ref="D28:E28"/>
    <mergeCell ref="F28:G28"/>
    <mergeCell ref="H28:I28"/>
    <mergeCell ref="P28:Q28"/>
    <mergeCell ref="R28:S28"/>
    <mergeCell ref="B27:C27"/>
    <mergeCell ref="D27:E27"/>
    <mergeCell ref="F27:G27"/>
    <mergeCell ref="H27:I27"/>
    <mergeCell ref="P27:Q27"/>
    <mergeCell ref="R27:S27"/>
    <mergeCell ref="B26:C26"/>
    <mergeCell ref="D26:E26"/>
    <mergeCell ref="F26:G26"/>
    <mergeCell ref="H26:I26"/>
    <mergeCell ref="P26:Q26"/>
    <mergeCell ref="R26:S26"/>
    <mergeCell ref="B25:C25"/>
    <mergeCell ref="D25:E25"/>
    <mergeCell ref="F25:G25"/>
    <mergeCell ref="H25:I25"/>
    <mergeCell ref="P25:Q25"/>
    <mergeCell ref="R25:S25"/>
    <mergeCell ref="B24:C24"/>
    <mergeCell ref="D24:E24"/>
    <mergeCell ref="F24:G24"/>
    <mergeCell ref="H24:I24"/>
    <mergeCell ref="P24:Q24"/>
    <mergeCell ref="R24:S24"/>
    <mergeCell ref="B23:C23"/>
    <mergeCell ref="D23:E23"/>
    <mergeCell ref="F23:G23"/>
    <mergeCell ref="H23:I23"/>
    <mergeCell ref="P23:Q23"/>
    <mergeCell ref="R23:S23"/>
    <mergeCell ref="B22:C22"/>
    <mergeCell ref="D22:E22"/>
    <mergeCell ref="F22:G22"/>
    <mergeCell ref="H22:I22"/>
    <mergeCell ref="P22:Q22"/>
    <mergeCell ref="R22:S22"/>
    <mergeCell ref="B21:C21"/>
    <mergeCell ref="D21:E21"/>
    <mergeCell ref="F21:G21"/>
    <mergeCell ref="H21:I21"/>
    <mergeCell ref="P21:Q21"/>
    <mergeCell ref="R21:S21"/>
    <mergeCell ref="B20:C20"/>
    <mergeCell ref="D20:E20"/>
    <mergeCell ref="F20:G20"/>
    <mergeCell ref="H20:I20"/>
    <mergeCell ref="P20:Q20"/>
    <mergeCell ref="R20:S20"/>
    <mergeCell ref="B19:C19"/>
    <mergeCell ref="D19:E19"/>
    <mergeCell ref="F19:G19"/>
    <mergeCell ref="H19:I19"/>
    <mergeCell ref="P19:Q19"/>
    <mergeCell ref="R19:S19"/>
    <mergeCell ref="B18:C18"/>
    <mergeCell ref="D18:E18"/>
    <mergeCell ref="F18:G18"/>
    <mergeCell ref="H18:I18"/>
    <mergeCell ref="P18:Q18"/>
    <mergeCell ref="R18:S18"/>
    <mergeCell ref="B17:C17"/>
    <mergeCell ref="D17:E17"/>
    <mergeCell ref="F17:G17"/>
    <mergeCell ref="H17:I17"/>
    <mergeCell ref="P17:Q17"/>
    <mergeCell ref="R17:S17"/>
    <mergeCell ref="B16:C16"/>
    <mergeCell ref="D16:E16"/>
    <mergeCell ref="F16:G16"/>
    <mergeCell ref="H16:I16"/>
    <mergeCell ref="P16:Q16"/>
    <mergeCell ref="R16:S16"/>
    <mergeCell ref="B15:C15"/>
    <mergeCell ref="D15:E15"/>
    <mergeCell ref="F15:G15"/>
    <mergeCell ref="H15:I15"/>
    <mergeCell ref="P15:Q15"/>
    <mergeCell ref="R15:S15"/>
    <mergeCell ref="B14:C14"/>
    <mergeCell ref="D14:E14"/>
    <mergeCell ref="F14:G14"/>
    <mergeCell ref="H14:I14"/>
    <mergeCell ref="P14:Q14"/>
    <mergeCell ref="R14:S14"/>
    <mergeCell ref="R11:S12"/>
    <mergeCell ref="B13:C13"/>
    <mergeCell ref="D13:E13"/>
    <mergeCell ref="F13:G13"/>
    <mergeCell ref="H13:I13"/>
    <mergeCell ref="P13:Q13"/>
    <mergeCell ref="R13:S13"/>
    <mergeCell ref="P8:Q8"/>
    <mergeCell ref="A11:A12"/>
    <mergeCell ref="B11:C12"/>
    <mergeCell ref="D11:E12"/>
    <mergeCell ref="F11:G12"/>
    <mergeCell ref="H11:I12"/>
    <mergeCell ref="J11:O11"/>
    <mergeCell ref="P11:Q12"/>
    <mergeCell ref="A8:B8"/>
    <mergeCell ref="C8:D8"/>
    <mergeCell ref="E8:F8"/>
    <mergeCell ref="G8:I8"/>
    <mergeCell ref="J8:K8"/>
    <mergeCell ref="N8:O8"/>
    <mergeCell ref="A3:S3"/>
    <mergeCell ref="Q5:S5"/>
    <mergeCell ref="A6:S6"/>
    <mergeCell ref="A7:B7"/>
    <mergeCell ref="C7:F7"/>
    <mergeCell ref="G7:I7"/>
    <mergeCell ref="J7:K7"/>
    <mergeCell ref="L7:M8"/>
    <mergeCell ref="N7:O7"/>
    <mergeCell ref="P7:Q7"/>
  </mergeCells>
  <phoneticPr fontId="2" type="noConversion"/>
  <printOptions horizontalCentered="1"/>
  <pageMargins left="0.35433070866141736" right="0.23622047244094491" top="0.43307086614173229" bottom="0.23622047244094491" header="0.51181102362204722" footer="0.27559055118110237"/>
  <pageSetup paperSize="9" scale="71" orientation="portrait" r:id="rId1"/>
  <headerFooter alignWithMargins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59999389629810485"/>
    <pageSetUpPr fitToPage="1"/>
  </sheetPr>
  <dimension ref="A1:AR78"/>
  <sheetViews>
    <sheetView topLeftCell="A18" zoomScaleNormal="100" workbookViewId="0">
      <selection activeCell="F5" sqref="F5:F8"/>
    </sheetView>
  </sheetViews>
  <sheetFormatPr defaultColWidth="10" defaultRowHeight="13.2" x14ac:dyDescent="0.4"/>
  <cols>
    <col min="1" max="1" width="19.09765625" style="31" bestFit="1" customWidth="1"/>
    <col min="2" max="2" width="12.19921875" style="31" customWidth="1"/>
    <col min="3" max="3" width="8.69921875" style="31" customWidth="1"/>
    <col min="4" max="4" width="1.69921875" style="31" customWidth="1"/>
    <col min="5" max="5" width="11" style="31" customWidth="1"/>
    <col min="6" max="11" width="9.8984375" style="31" customWidth="1"/>
    <col min="12" max="12" width="3.09765625" style="31" customWidth="1"/>
    <col min="13" max="13" width="10" style="31"/>
    <col min="14" max="14" width="10" style="31" customWidth="1"/>
    <col min="15" max="16384" width="10" style="31"/>
  </cols>
  <sheetData>
    <row r="1" spans="1:44" ht="13.8" thickBot="1" x14ac:dyDescent="0.45"/>
    <row r="2" spans="1:44" ht="20.100000000000001" hidden="1" customHeight="1" thickBot="1" x14ac:dyDescent="0.45">
      <c r="A2" s="32" t="s">
        <v>167</v>
      </c>
    </row>
    <row r="3" spans="1:44" ht="20.100000000000001" customHeight="1" x14ac:dyDescent="0.4">
      <c r="A3" s="761" t="s">
        <v>168</v>
      </c>
      <c r="B3" s="763" t="s">
        <v>169</v>
      </c>
      <c r="C3" s="765" t="s">
        <v>170</v>
      </c>
      <c r="E3" s="34"/>
      <c r="F3" s="767" t="s">
        <v>171</v>
      </c>
      <c r="G3" s="767"/>
      <c r="H3" s="768"/>
      <c r="I3" s="768"/>
      <c r="J3" s="768"/>
      <c r="K3" s="769"/>
      <c r="M3" s="750" t="s">
        <v>172</v>
      </c>
      <c r="N3" s="751"/>
      <c r="O3" s="751"/>
      <c r="P3" s="751"/>
      <c r="Q3" s="751"/>
      <c r="R3" s="751"/>
      <c r="S3" s="752"/>
      <c r="U3" s="750" t="s">
        <v>173</v>
      </c>
      <c r="V3" s="751"/>
      <c r="W3" s="751"/>
      <c r="X3" s="751"/>
      <c r="Y3" s="751"/>
      <c r="Z3" s="751"/>
      <c r="AA3" s="752"/>
      <c r="AC3" s="750" t="s">
        <v>233</v>
      </c>
      <c r="AD3" s="751"/>
      <c r="AE3" s="751"/>
      <c r="AF3" s="751"/>
      <c r="AG3" s="751"/>
      <c r="AH3" s="751"/>
      <c r="AI3" s="752"/>
      <c r="AK3" s="750"/>
      <c r="AL3" s="751"/>
      <c r="AM3" s="751"/>
      <c r="AN3" s="751"/>
      <c r="AO3" s="751"/>
      <c r="AP3" s="751"/>
      <c r="AQ3" s="752"/>
    </row>
    <row r="4" spans="1:44" ht="30" customHeight="1" x14ac:dyDescent="0.4">
      <c r="A4" s="762"/>
      <c r="B4" s="764"/>
      <c r="C4" s="766"/>
      <c r="E4" s="35"/>
      <c r="F4" s="36" t="s">
        <v>174</v>
      </c>
      <c r="G4" s="36" t="s">
        <v>175</v>
      </c>
      <c r="H4" s="37" t="s">
        <v>176</v>
      </c>
      <c r="I4" s="37" t="s">
        <v>177</v>
      </c>
      <c r="J4" s="37" t="s">
        <v>178</v>
      </c>
      <c r="K4" s="38">
        <v>1120</v>
      </c>
      <c r="M4" s="39"/>
      <c r="N4" s="40" t="s">
        <v>174</v>
      </c>
      <c r="O4" s="40" t="s">
        <v>175</v>
      </c>
      <c r="P4" s="41" t="s">
        <v>176</v>
      </c>
      <c r="Q4" s="42" t="s">
        <v>177</v>
      </c>
      <c r="R4" s="41" t="s">
        <v>179</v>
      </c>
      <c r="S4" s="43">
        <v>609</v>
      </c>
      <c r="U4" s="39"/>
      <c r="V4" s="40" t="s">
        <v>174</v>
      </c>
      <c r="W4" s="40" t="s">
        <v>180</v>
      </c>
      <c r="X4" s="41" t="s">
        <v>176</v>
      </c>
      <c r="Y4" s="42" t="s">
        <v>181</v>
      </c>
      <c r="Z4" s="41" t="s">
        <v>182</v>
      </c>
      <c r="AA4" s="43">
        <v>2500</v>
      </c>
      <c r="AC4" s="39"/>
      <c r="AD4" s="40" t="s">
        <v>174</v>
      </c>
      <c r="AE4" s="40" t="s">
        <v>175</v>
      </c>
      <c r="AF4" s="41" t="s">
        <v>176</v>
      </c>
      <c r="AG4" s="42" t="s">
        <v>183</v>
      </c>
      <c r="AH4" s="41" t="s">
        <v>182</v>
      </c>
      <c r="AI4" s="43">
        <v>2300</v>
      </c>
      <c r="AK4" s="39"/>
      <c r="AL4" s="40" t="s">
        <v>174</v>
      </c>
      <c r="AM4" s="40" t="s">
        <v>175</v>
      </c>
      <c r="AN4" s="41" t="s">
        <v>176</v>
      </c>
      <c r="AO4" s="42" t="s">
        <v>177</v>
      </c>
      <c r="AP4" s="41" t="s">
        <v>178</v>
      </c>
      <c r="AQ4" s="43">
        <v>3185</v>
      </c>
    </row>
    <row r="5" spans="1:44" ht="13.5" customHeight="1" x14ac:dyDescent="0.4">
      <c r="A5" s="44" t="s">
        <v>184</v>
      </c>
      <c r="B5" s="45">
        <v>2700</v>
      </c>
      <c r="C5" s="141">
        <v>1.1000000000000001</v>
      </c>
      <c r="E5" s="46">
        <f>F5/C5</f>
        <v>63.636363636363633</v>
      </c>
      <c r="F5" s="47">
        <v>70</v>
      </c>
      <c r="G5" s="48">
        <f>F5/F23</f>
        <v>0.15652951699463327</v>
      </c>
      <c r="H5" s="47">
        <f>IF(F5="","",F5/F$23*(1000/H$24))</f>
        <v>156.52951699463327</v>
      </c>
      <c r="I5" s="49">
        <f>IF(F5="","",B5*H5/1000)</f>
        <v>422.62969588550982</v>
      </c>
      <c r="J5" s="47">
        <f>IF(F5="","",F5/SUM(F$5:F$6)*100)</f>
        <v>70</v>
      </c>
      <c r="K5" s="291">
        <f>IF(H5="","",H5*(K$23/H$23))</f>
        <v>175.31305903398928</v>
      </c>
      <c r="M5" s="46">
        <f>N5/C5</f>
        <v>63.636363636363633</v>
      </c>
      <c r="N5" s="47">
        <v>70</v>
      </c>
      <c r="O5" s="48">
        <f>N5/N23</f>
        <v>0.16466713714420136</v>
      </c>
      <c r="P5" s="47">
        <f t="shared" ref="P5:P22" si="0">IF(N5="","",N5/N$23*(1000/P$24))</f>
        <v>164.66713714420138</v>
      </c>
      <c r="Q5" s="49">
        <f>IF(N5="","",B5*P5/1000)</f>
        <v>444.60127028934374</v>
      </c>
      <c r="R5" s="47">
        <f>IF(N5="","",N5/SUM(N$5:N$6)*100)</f>
        <v>70</v>
      </c>
      <c r="S5" s="50">
        <f>IF(P5="","",P5*(S$23/P$23))</f>
        <v>100.28228652081863</v>
      </c>
      <c r="T5" s="33"/>
      <c r="U5" s="46">
        <f>V5/C5</f>
        <v>59.090909090909086</v>
      </c>
      <c r="V5" s="47">
        <v>65</v>
      </c>
      <c r="W5" s="48">
        <f>V5/V23</f>
        <v>0.14853747714808044</v>
      </c>
      <c r="X5" s="47">
        <f t="shared" ref="X5:X22" si="1">IF(V5="","",V5/V$23*(1000/X$24))</f>
        <v>151.56885423273513</v>
      </c>
      <c r="Y5" s="49">
        <f>IF(V5="","",B5*X5/1000)</f>
        <v>409.23590642838491</v>
      </c>
      <c r="Z5" s="47">
        <f>IF(V5="","",V5/SUM(V$5:V$6)*100)</f>
        <v>65</v>
      </c>
      <c r="AA5" s="50">
        <f>IF(X5="","",X5*(AA$23/X$23))</f>
        <v>378.92213558183789</v>
      </c>
      <c r="AC5" s="46">
        <f>AD5/K5</f>
        <v>0.37646938775510203</v>
      </c>
      <c r="AD5" s="47">
        <v>66</v>
      </c>
      <c r="AE5" s="48">
        <f>AD5/AD23</f>
        <v>0.15052341095171848</v>
      </c>
      <c r="AF5" s="47">
        <f t="shared" ref="AF5:AF22" si="2">IF(AD5="","",AD5/AD$23*(1000/AF$24))</f>
        <v>153.59531729767193</v>
      </c>
      <c r="AG5" s="49">
        <f>IF(AD5="","",B5*AF5/1000)</f>
        <v>414.7073567037142</v>
      </c>
      <c r="AH5" s="47">
        <f>IF(AD5="","",AD5/SUM(AD$5:AD$6)*100)</f>
        <v>76.744186046511629</v>
      </c>
      <c r="AI5" s="50">
        <f>IF(AF5="","",AF5*(AI$23/AF$23))</f>
        <v>353.26922978464546</v>
      </c>
      <c r="AK5" s="46">
        <f>AL5/S5</f>
        <v>4.886206896551724</v>
      </c>
      <c r="AL5" s="47">
        <v>490</v>
      </c>
      <c r="AM5" s="48">
        <f>AL5/AL23</f>
        <v>0.44922806116835967</v>
      </c>
      <c r="AN5" s="47">
        <f t="shared" ref="AN5:AN22" si="3">IF(AL5="","",AL5/AL$23*(1000/AN$24))</f>
        <v>449.22806116835966</v>
      </c>
      <c r="AO5" s="49">
        <f>IF(AL5="","",J5*AN5/1000)</f>
        <v>31.445964281785173</v>
      </c>
      <c r="AP5" s="47">
        <f>IF(AL5="","",AL5/SUM(AL$5:AL$6)*100)</f>
        <v>70</v>
      </c>
      <c r="AQ5" s="50">
        <f>IF(AN5="","",AN5*(AQ$23/AN$23))</f>
        <v>1430.7913748212256</v>
      </c>
      <c r="AR5" s="31">
        <v>490</v>
      </c>
    </row>
    <row r="6" spans="1:44" ht="13.5" customHeight="1" x14ac:dyDescent="0.4">
      <c r="A6" s="51" t="s">
        <v>185</v>
      </c>
      <c r="B6" s="52">
        <v>2500</v>
      </c>
      <c r="C6" s="141">
        <v>1</v>
      </c>
      <c r="E6" s="46">
        <f>F6/C6</f>
        <v>30</v>
      </c>
      <c r="F6" s="47">
        <v>30</v>
      </c>
      <c r="G6" s="53">
        <f>F6/F23</f>
        <v>6.7084078711985684E-2</v>
      </c>
      <c r="H6" s="47">
        <f>IF(F6="","",F6/F$23*(1000/H$24))</f>
        <v>67.084078711985683</v>
      </c>
      <c r="I6" s="49">
        <f>IF(F6="","",B6*H6/1000)</f>
        <v>167.71019677996421</v>
      </c>
      <c r="J6" s="47">
        <f>IF(F6="","",F6/SUM(F$5:F$6)*100)</f>
        <v>30</v>
      </c>
      <c r="K6" s="291">
        <f>IF(H6="","",H6*(K$23/H$23))</f>
        <v>75.134168157423971</v>
      </c>
      <c r="M6" s="46">
        <f>N6/C6</f>
        <v>30</v>
      </c>
      <c r="N6" s="47">
        <v>30</v>
      </c>
      <c r="O6" s="53">
        <f>N6/N23</f>
        <v>7.0571630204657732E-2</v>
      </c>
      <c r="P6" s="47">
        <f t="shared" si="0"/>
        <v>70.571630204657737</v>
      </c>
      <c r="Q6" s="49">
        <f t="shared" ref="Q6:Q16" si="4">IF(N6="","",B6*P6/1000)</f>
        <v>176.42907551164433</v>
      </c>
      <c r="R6" s="47">
        <f>IF(N6="","",N6/SUM(N$5:N$6)*100)</f>
        <v>30</v>
      </c>
      <c r="S6" s="50">
        <f>IF(P6="","",P6*(S$23/P$23))</f>
        <v>42.978122794636562</v>
      </c>
      <c r="T6" s="33"/>
      <c r="U6" s="46">
        <f t="shared" ref="U6:U21" si="5">V6/C6</f>
        <v>35</v>
      </c>
      <c r="V6" s="47">
        <v>35</v>
      </c>
      <c r="W6" s="53">
        <f>V6/V23</f>
        <v>7.9981718464350995E-2</v>
      </c>
      <c r="X6" s="47">
        <f t="shared" si="1"/>
        <v>81.613998433011218</v>
      </c>
      <c r="Y6" s="49">
        <f t="shared" ref="Y6:Y21" si="6">IF(V6="","",B6*X6/1000)</f>
        <v>204.03499608252807</v>
      </c>
      <c r="Z6" s="47">
        <f>IF(V6="","",V6/SUM(V$5:V$6)*100)</f>
        <v>35</v>
      </c>
      <c r="AA6" s="50">
        <f>IF(X6="","",X6*(AA$23/X$23))</f>
        <v>204.0349960825281</v>
      </c>
      <c r="AC6" s="46">
        <f>AD6/K6</f>
        <v>0.2661904761904762</v>
      </c>
      <c r="AD6" s="47">
        <v>20</v>
      </c>
      <c r="AE6" s="53">
        <f>AD6/AD23</f>
        <v>4.5613154833854079E-2</v>
      </c>
      <c r="AF6" s="47">
        <f t="shared" si="2"/>
        <v>46.544035544749065</v>
      </c>
      <c r="AG6" s="49">
        <f t="shared" ref="AG6:AG21" si="7">IF(AD6="","",B6*AF6/1000)</f>
        <v>116.36008886187265</v>
      </c>
      <c r="AH6" s="47">
        <f>IF(AD6="","",AD6/SUM(AD$5:AD$6)*100)</f>
        <v>23.255813953488371</v>
      </c>
      <c r="AI6" s="50">
        <f>IF(AF6="","",AF6*(AI$23/AF$23))</f>
        <v>107.05128175292286</v>
      </c>
      <c r="AK6" s="46">
        <f>AL6/S6</f>
        <v>4.8862068965517231</v>
      </c>
      <c r="AL6" s="47">
        <v>210</v>
      </c>
      <c r="AM6" s="53">
        <f>AL6/AL23</f>
        <v>0.19252631192929701</v>
      </c>
      <c r="AN6" s="47">
        <f t="shared" si="3"/>
        <v>192.52631192929701</v>
      </c>
      <c r="AO6" s="49">
        <f t="shared" ref="AO6:AO21" si="8">IF(AL6="","",J6*AN6/1000)</f>
        <v>5.7757893578789101</v>
      </c>
      <c r="AP6" s="47">
        <f>IF(AL6="","",AL6/SUM(AL$5:AL$6)*100)</f>
        <v>30</v>
      </c>
      <c r="AQ6" s="50">
        <f>IF(AN6="","",AN6*(AQ$23/AN$23))</f>
        <v>613.1963034948111</v>
      </c>
      <c r="AR6" s="31">
        <v>210</v>
      </c>
    </row>
    <row r="7" spans="1:44" ht="13.5" customHeight="1" x14ac:dyDescent="0.4">
      <c r="A7" s="54"/>
      <c r="B7" s="55"/>
      <c r="C7" s="141"/>
      <c r="E7" s="46"/>
      <c r="F7" s="56"/>
      <c r="G7" s="56"/>
      <c r="H7" s="56"/>
      <c r="I7" s="57"/>
      <c r="J7" s="56"/>
      <c r="K7" s="292"/>
      <c r="M7" s="46"/>
      <c r="N7" s="56"/>
      <c r="O7" s="56"/>
      <c r="P7" s="56" t="str">
        <f t="shared" si="0"/>
        <v/>
      </c>
      <c r="Q7" s="57" t="str">
        <f t="shared" si="4"/>
        <v/>
      </c>
      <c r="R7" s="56"/>
      <c r="S7" s="58"/>
      <c r="T7" s="59"/>
      <c r="U7" s="46"/>
      <c r="V7" s="56"/>
      <c r="W7" s="56"/>
      <c r="X7" s="56" t="str">
        <f t="shared" si="1"/>
        <v/>
      </c>
      <c r="Y7" s="57" t="str">
        <f t="shared" si="6"/>
        <v/>
      </c>
      <c r="Z7" s="56"/>
      <c r="AA7" s="58"/>
      <c r="AC7" s="46"/>
      <c r="AD7" s="56"/>
      <c r="AE7" s="56"/>
      <c r="AF7" s="56" t="str">
        <f t="shared" si="2"/>
        <v/>
      </c>
      <c r="AG7" s="57" t="str">
        <f t="shared" si="7"/>
        <v/>
      </c>
      <c r="AH7" s="56"/>
      <c r="AI7" s="58"/>
      <c r="AK7" s="46"/>
      <c r="AL7" s="56"/>
      <c r="AM7" s="56"/>
      <c r="AN7" s="56" t="str">
        <f t="shared" si="3"/>
        <v/>
      </c>
      <c r="AO7" s="57" t="str">
        <f t="shared" si="8"/>
        <v/>
      </c>
      <c r="AP7" s="56"/>
      <c r="AQ7" s="58"/>
    </row>
    <row r="8" spans="1:44" ht="13.5" customHeight="1" x14ac:dyDescent="0.4">
      <c r="A8" s="60" t="s">
        <v>186</v>
      </c>
      <c r="B8" s="52">
        <v>22500</v>
      </c>
      <c r="C8" s="141">
        <v>1.02</v>
      </c>
      <c r="E8" s="46">
        <f t="shared" ref="E8:E16" si="9">F8/C8</f>
        <v>0.98039215686274506</v>
      </c>
      <c r="F8" s="47">
        <v>1</v>
      </c>
      <c r="G8" s="53">
        <f>F8/F23</f>
        <v>2.2361359570661895E-3</v>
      </c>
      <c r="H8" s="47">
        <f t="shared" ref="H8:H16" si="10">IF(F8="","",F8/F$23*(1000/H$24))</f>
        <v>2.2361359570661894</v>
      </c>
      <c r="I8" s="49">
        <f t="shared" ref="I8:I16" si="11">IF(F8="","",B8*H8/1000)</f>
        <v>50.313059033989262</v>
      </c>
      <c r="J8" s="47">
        <f>IF(F8="","",F8/SUM(F$5:F$6)*100)</f>
        <v>1</v>
      </c>
      <c r="K8" s="50">
        <f t="shared" ref="K8:K16" si="12">IF(H8="","",H8*(K$23/H$23))</f>
        <v>2.5044722719141324</v>
      </c>
      <c r="M8" s="46"/>
      <c r="N8" s="61">
        <v>1</v>
      </c>
      <c r="O8" s="53">
        <f>N8/N23</f>
        <v>2.3523876734885909E-3</v>
      </c>
      <c r="P8" s="47">
        <f t="shared" si="0"/>
        <v>2.3523876734885909</v>
      </c>
      <c r="Q8" s="49">
        <f t="shared" si="4"/>
        <v>52.928722653493296</v>
      </c>
      <c r="R8" s="62">
        <f>IF(N8="","",N8/SUM(N$5:N$6)*100)</f>
        <v>1</v>
      </c>
      <c r="S8" s="50">
        <f t="shared" ref="S8:S16" si="13">IF(P8="","",P8*(S$23/P$23))</f>
        <v>1.4326040931545518</v>
      </c>
      <c r="T8" s="63"/>
      <c r="U8" s="46">
        <f t="shared" si="5"/>
        <v>1.1764705882352942</v>
      </c>
      <c r="V8" s="61">
        <v>1.2</v>
      </c>
      <c r="W8" s="53">
        <f>V8/V23</f>
        <v>2.7422303473491772E-3</v>
      </c>
      <c r="X8" s="47">
        <f t="shared" si="1"/>
        <v>2.7981942319889566</v>
      </c>
      <c r="Y8" s="49">
        <f>IF(V8="","",B8*X8/1000)</f>
        <v>62.95937021975152</v>
      </c>
      <c r="Z8" s="62">
        <f>IF(V8="","",V8/SUM(V$5:V$6)*100)</f>
        <v>1.2</v>
      </c>
      <c r="AA8" s="50">
        <f t="shared" ref="AA8:AA16" si="14">IF(X8="","",X8*(AA$23/X$23))</f>
        <v>6.9954855799723923</v>
      </c>
      <c r="AC8" s="46">
        <f>AD8/K8</f>
        <v>0.15971428571428573</v>
      </c>
      <c r="AD8" s="61">
        <v>0.4</v>
      </c>
      <c r="AE8" s="53">
        <f>AD8/AD23</f>
        <v>9.1226309667708167E-4</v>
      </c>
      <c r="AF8" s="47">
        <f t="shared" si="2"/>
        <v>0.93088071089498137</v>
      </c>
      <c r="AG8" s="49">
        <f t="shared" si="7"/>
        <v>20.94481599513708</v>
      </c>
      <c r="AH8" s="62">
        <f>IF(AD8="","",AD8/SUM(AD$5:AD$6)*100)</f>
        <v>0.46511627906976744</v>
      </c>
      <c r="AI8" s="50">
        <f t="shared" ref="AI8:AI16" si="15">IF(AF8="","",AF8*(AI$23/AF$23))</f>
        <v>2.1410256350584573</v>
      </c>
      <c r="AK8" s="46">
        <f>AL8/S8</f>
        <v>2.443103448275862</v>
      </c>
      <c r="AL8" s="61">
        <v>3.5</v>
      </c>
      <c r="AM8" s="53">
        <f>AL8/AL23</f>
        <v>3.2087718654882835E-3</v>
      </c>
      <c r="AN8" s="47">
        <f t="shared" si="3"/>
        <v>3.2087718654882833</v>
      </c>
      <c r="AO8" s="49">
        <f t="shared" si="8"/>
        <v>3.2087718654882835E-3</v>
      </c>
      <c r="AP8" s="62">
        <f>IF(AL8="","",AL8/SUM(AL$5:AL$6)*100)</f>
        <v>0.5</v>
      </c>
      <c r="AQ8" s="50">
        <f t="shared" ref="AQ8:AQ16" si="16">IF(AN8="","",AN8*(AQ$23/AN$23))</f>
        <v>10.219938391580184</v>
      </c>
    </row>
    <row r="9" spans="1:44" ht="13.5" customHeight="1" x14ac:dyDescent="0.4">
      <c r="A9" s="64" t="s">
        <v>187</v>
      </c>
      <c r="B9" s="52">
        <v>15300</v>
      </c>
      <c r="C9" s="141">
        <v>1.04</v>
      </c>
      <c r="E9" s="46">
        <f t="shared" si="9"/>
        <v>0.96153846153846145</v>
      </c>
      <c r="F9" s="47">
        <v>1</v>
      </c>
      <c r="G9" s="53">
        <f>F9/F23</f>
        <v>2.2361359570661895E-3</v>
      </c>
      <c r="H9" s="47">
        <f t="shared" si="10"/>
        <v>2.2361359570661894</v>
      </c>
      <c r="I9" s="49">
        <f t="shared" si="11"/>
        <v>34.212880143112699</v>
      </c>
      <c r="J9" s="47">
        <f>IF(F9="","",F9/F$18*100)</f>
        <v>0.58823529411764708</v>
      </c>
      <c r="K9" s="50">
        <f>IF(H9="","",H9*(K$23/H$23))</f>
        <v>2.5044722719141324</v>
      </c>
      <c r="M9" s="46"/>
      <c r="N9" s="61">
        <v>1</v>
      </c>
      <c r="O9" s="53">
        <f>N9/N23</f>
        <v>2.3523876734885909E-3</v>
      </c>
      <c r="P9" s="47">
        <f t="shared" si="0"/>
        <v>2.3523876734885909</v>
      </c>
      <c r="Q9" s="49">
        <f t="shared" si="4"/>
        <v>35.991531404375444</v>
      </c>
      <c r="R9" s="62">
        <f>IF(N9="","",N9/SUM(N$18)*100)</f>
        <v>0.58823529411764708</v>
      </c>
      <c r="S9" s="50">
        <f t="shared" si="13"/>
        <v>1.4326040931545518</v>
      </c>
      <c r="T9" s="63"/>
      <c r="U9" s="46">
        <f t="shared" si="5"/>
        <v>0</v>
      </c>
      <c r="V9" s="61"/>
      <c r="W9" s="53">
        <f>V9/V23</f>
        <v>0</v>
      </c>
      <c r="X9" s="47" t="str">
        <f t="shared" si="1"/>
        <v/>
      </c>
      <c r="Y9" s="49" t="str">
        <f t="shared" si="6"/>
        <v/>
      </c>
      <c r="Z9" s="62" t="str">
        <f>IF(V9="","",V9/SUM(V$5:V$6)*100)</f>
        <v/>
      </c>
      <c r="AA9" s="50" t="str">
        <f t="shared" si="14"/>
        <v/>
      </c>
      <c r="AC9" s="46">
        <f>AD9/K9</f>
        <v>0</v>
      </c>
      <c r="AD9" s="61"/>
      <c r="AE9" s="53">
        <f>AD9/AD23</f>
        <v>0</v>
      </c>
      <c r="AF9" s="47" t="str">
        <f t="shared" si="2"/>
        <v/>
      </c>
      <c r="AG9" s="49" t="str">
        <f t="shared" si="7"/>
        <v/>
      </c>
      <c r="AH9" s="62" t="str">
        <f>IF(AD9="","",AD9/SUM(AD$5:AD$6)*100)</f>
        <v/>
      </c>
      <c r="AI9" s="50" t="str">
        <f t="shared" si="15"/>
        <v/>
      </c>
      <c r="AK9" s="46">
        <f>AL9/S9</f>
        <v>7.3293103448275865</v>
      </c>
      <c r="AL9" s="61">
        <v>10.5</v>
      </c>
      <c r="AM9" s="53">
        <f>AL9/AL23</f>
        <v>9.6263155964648496E-3</v>
      </c>
      <c r="AN9" s="47">
        <f t="shared" si="3"/>
        <v>9.626315596464849</v>
      </c>
      <c r="AO9" s="49">
        <f t="shared" si="8"/>
        <v>5.662538586155794E-3</v>
      </c>
      <c r="AP9" s="62">
        <f>IF(AL9="","",AL9/SUM(AL$5:AL$6)*100)</f>
        <v>1.5</v>
      </c>
      <c r="AQ9" s="50">
        <f t="shared" si="16"/>
        <v>30.659815174740547</v>
      </c>
    </row>
    <row r="10" spans="1:44" ht="13.5" customHeight="1" x14ac:dyDescent="0.4">
      <c r="A10" s="64" t="s">
        <v>188</v>
      </c>
      <c r="B10" s="52">
        <v>3600</v>
      </c>
      <c r="C10" s="140">
        <v>0.91</v>
      </c>
      <c r="E10" s="46">
        <f t="shared" si="9"/>
        <v>8.2417582417582409</v>
      </c>
      <c r="F10" s="62">
        <v>7.5</v>
      </c>
      <c r="G10" s="53">
        <f>F10/F23</f>
        <v>1.6771019677996421E-2</v>
      </c>
      <c r="H10" s="47">
        <f t="shared" si="10"/>
        <v>16.771019677996421</v>
      </c>
      <c r="I10" s="49">
        <f t="shared" si="11"/>
        <v>60.375670840787109</v>
      </c>
      <c r="J10" s="47">
        <f t="shared" ref="J10:J16" si="17">IF(F10="","",F10/SUM(F$5:F$6)*100)</f>
        <v>7.5</v>
      </c>
      <c r="K10" s="50">
        <f t="shared" si="12"/>
        <v>18.783542039355993</v>
      </c>
      <c r="M10" s="46">
        <f>N10/C10</f>
        <v>8.2417582417582409</v>
      </c>
      <c r="N10" s="47">
        <v>7.5</v>
      </c>
      <c r="O10" s="53">
        <f>N10/N23</f>
        <v>1.7642907551164433E-2</v>
      </c>
      <c r="P10" s="47">
        <f t="shared" si="0"/>
        <v>17.642907551164434</v>
      </c>
      <c r="Q10" s="49">
        <f t="shared" si="4"/>
        <v>63.514467184191965</v>
      </c>
      <c r="R10" s="47">
        <f>IF(N10="","",N10/SUM(N$5:N$6)*100)</f>
        <v>7.5</v>
      </c>
      <c r="S10" s="50">
        <f t="shared" si="13"/>
        <v>10.74453069865914</v>
      </c>
      <c r="T10" s="63"/>
      <c r="U10" s="46">
        <f t="shared" si="5"/>
        <v>7.6923076923076916</v>
      </c>
      <c r="V10" s="47">
        <v>7</v>
      </c>
      <c r="W10" s="53">
        <f>V10/V23</f>
        <v>1.5996343692870202E-2</v>
      </c>
      <c r="X10" s="47">
        <f t="shared" si="1"/>
        <v>16.322799686602249</v>
      </c>
      <c r="Y10" s="49">
        <f t="shared" si="6"/>
        <v>58.76207887176809</v>
      </c>
      <c r="Z10" s="47">
        <f>IF(V10="","",V10/SUM(V$5:V$6)*100)</f>
        <v>7.0000000000000009</v>
      </c>
      <c r="AA10" s="50">
        <f t="shared" si="14"/>
        <v>40.806999216505631</v>
      </c>
      <c r="AC10" s="46">
        <f>AD10/K10</f>
        <v>0.80496000000000001</v>
      </c>
      <c r="AD10" s="47">
        <v>15.12</v>
      </c>
      <c r="AE10" s="53">
        <f>AD10/AD23</f>
        <v>3.4483545054393681E-2</v>
      </c>
      <c r="AF10" s="47">
        <f t="shared" si="2"/>
        <v>35.187290871830285</v>
      </c>
      <c r="AG10" s="49">
        <f t="shared" si="7"/>
        <v>126.67424713858902</v>
      </c>
      <c r="AH10" s="47">
        <f>IF(AD10="","",AD10/SUM(AD$5:AD$6)*100)</f>
        <v>17.581395348837209</v>
      </c>
      <c r="AI10" s="50">
        <f t="shared" si="15"/>
        <v>80.930769005209669</v>
      </c>
      <c r="AK10" s="46">
        <f>AL10/S10</f>
        <v>0.72595073891625606</v>
      </c>
      <c r="AL10" s="47">
        <v>7.8</v>
      </c>
      <c r="AM10" s="53">
        <f>AL10/AL23</f>
        <v>7.1509773002310312E-3</v>
      </c>
      <c r="AN10" s="47">
        <f t="shared" si="3"/>
        <v>7.1509773002310313</v>
      </c>
      <c r="AO10" s="49">
        <f t="shared" si="8"/>
        <v>5.3632329751732731E-2</v>
      </c>
      <c r="AP10" s="47">
        <f>IF(AL10="","",AL10/SUM(AL$5:AL$6)*100)</f>
        <v>1.1142857142857141</v>
      </c>
      <c r="AQ10" s="50">
        <f t="shared" si="16"/>
        <v>22.775862701235837</v>
      </c>
    </row>
    <row r="11" spans="1:44" s="65" customFormat="1" ht="13.5" customHeight="1" x14ac:dyDescent="0.4">
      <c r="A11" s="64" t="s">
        <v>189</v>
      </c>
      <c r="B11" s="52">
        <v>4100</v>
      </c>
      <c r="C11" s="140">
        <v>0.91</v>
      </c>
      <c r="E11" s="46">
        <f t="shared" si="9"/>
        <v>1.6483516483516483</v>
      </c>
      <c r="F11" s="62">
        <v>1.5</v>
      </c>
      <c r="G11" s="53">
        <f>F11/F23</f>
        <v>3.3542039355992847E-3</v>
      </c>
      <c r="H11" s="47">
        <f t="shared" si="10"/>
        <v>3.3542039355992848</v>
      </c>
      <c r="I11" s="49">
        <f t="shared" si="11"/>
        <v>13.752236135957068</v>
      </c>
      <c r="J11" s="47">
        <f t="shared" si="17"/>
        <v>1.5</v>
      </c>
      <c r="K11" s="50">
        <f t="shared" si="12"/>
        <v>3.7567084078711992</v>
      </c>
      <c r="M11" s="46">
        <f>N11/C11</f>
        <v>1.8681318681318679</v>
      </c>
      <c r="N11" s="47">
        <v>1.7</v>
      </c>
      <c r="O11" s="53">
        <f>N11/N23</f>
        <v>3.9990590449306045E-3</v>
      </c>
      <c r="P11" s="47">
        <f t="shared" si="0"/>
        <v>3.9990590449306045</v>
      </c>
      <c r="Q11" s="49">
        <f t="shared" si="4"/>
        <v>16.396142084215477</v>
      </c>
      <c r="R11" s="47">
        <f t="shared" ref="R11:R21" si="18">IF(N11="","",N11/SUM(N$5:N$6)*100)</f>
        <v>1.7000000000000002</v>
      </c>
      <c r="S11" s="50">
        <f t="shared" si="13"/>
        <v>2.4354269583627381</v>
      </c>
      <c r="T11" s="66"/>
      <c r="U11" s="46">
        <f t="shared" si="5"/>
        <v>0.43956043956043955</v>
      </c>
      <c r="V11" s="47">
        <v>0.4</v>
      </c>
      <c r="W11" s="53">
        <f>V11/V23</f>
        <v>9.1407678244972577E-4</v>
      </c>
      <c r="X11" s="47">
        <f t="shared" si="1"/>
        <v>0.93273141066298548</v>
      </c>
      <c r="Y11" s="49">
        <f t="shared" si="6"/>
        <v>3.8241987837182405</v>
      </c>
      <c r="Z11" s="47">
        <f t="shared" ref="Z11:Z21" si="19">IF(V11="","",V11/SUM(V$5:V$6)*100)</f>
        <v>0.4</v>
      </c>
      <c r="AA11" s="50">
        <f t="shared" si="14"/>
        <v>2.3318285266574641</v>
      </c>
      <c r="AC11" s="46">
        <f>AD11/K11</f>
        <v>0.34604761904761899</v>
      </c>
      <c r="AD11" s="47">
        <v>1.3</v>
      </c>
      <c r="AE11" s="53">
        <f>AD11/AD23</f>
        <v>2.9648550642005153E-3</v>
      </c>
      <c r="AF11" s="47">
        <f t="shared" si="2"/>
        <v>3.0253623104086893</v>
      </c>
      <c r="AG11" s="49">
        <f t="shared" si="7"/>
        <v>12.403985472675625</v>
      </c>
      <c r="AH11" s="47">
        <f t="shared" ref="AH11:AH21" si="20">IF(AD11="","",AD11/SUM(AD$5:AD$6)*100)</f>
        <v>1.5116279069767442</v>
      </c>
      <c r="AI11" s="50">
        <f t="shared" si="15"/>
        <v>6.9583333139399866</v>
      </c>
      <c r="AK11" s="46">
        <f>AL11/S11</f>
        <v>0.69802955665024624</v>
      </c>
      <c r="AL11" s="47">
        <v>1.7</v>
      </c>
      <c r="AM11" s="53">
        <f>AL11/AL23</f>
        <v>1.5585463346657377E-3</v>
      </c>
      <c r="AN11" s="47">
        <f t="shared" si="3"/>
        <v>1.5585463346657378</v>
      </c>
      <c r="AO11" s="49">
        <f t="shared" si="8"/>
        <v>2.3378195019986068E-3</v>
      </c>
      <c r="AP11" s="47">
        <f t="shared" ref="AP11:AP21" si="21">IF(AL11="","",AL11/SUM(AL$5:AL$6)*100)</f>
        <v>0.24285714285714283</v>
      </c>
      <c r="AQ11" s="50">
        <f t="shared" si="16"/>
        <v>4.9639700759103755</v>
      </c>
    </row>
    <row r="12" spans="1:44" ht="13.5" customHeight="1" x14ac:dyDescent="0.4">
      <c r="A12" s="64" t="s">
        <v>190</v>
      </c>
      <c r="B12" s="52">
        <v>6000</v>
      </c>
      <c r="C12" s="141">
        <v>1.04</v>
      </c>
      <c r="E12" s="46">
        <f t="shared" si="9"/>
        <v>1.1538461538461537</v>
      </c>
      <c r="F12" s="47">
        <v>1.2</v>
      </c>
      <c r="G12" s="53">
        <f>F12/F23</f>
        <v>2.6833631484794273E-3</v>
      </c>
      <c r="H12" s="47">
        <f t="shared" si="10"/>
        <v>2.6833631484794274</v>
      </c>
      <c r="I12" s="49">
        <f t="shared" si="11"/>
        <v>16.100178890876563</v>
      </c>
      <c r="J12" s="47">
        <f t="shared" si="17"/>
        <v>1.2</v>
      </c>
      <c r="K12" s="50">
        <f t="shared" si="12"/>
        <v>3.005366726296959</v>
      </c>
      <c r="M12" s="46">
        <f t="shared" ref="M12:M21" si="22">N12/C12</f>
        <v>1.1538461538461537</v>
      </c>
      <c r="N12" s="47">
        <v>1.2</v>
      </c>
      <c r="O12" s="53">
        <f>N12/N23</f>
        <v>2.8228652081863093E-3</v>
      </c>
      <c r="P12" s="47">
        <f t="shared" si="0"/>
        <v>2.8228652081863093</v>
      </c>
      <c r="Q12" s="49">
        <f t="shared" si="4"/>
        <v>16.937191249117856</v>
      </c>
      <c r="R12" s="47">
        <f t="shared" si="18"/>
        <v>1.2</v>
      </c>
      <c r="S12" s="50">
        <f t="shared" si="13"/>
        <v>1.7191249117854623</v>
      </c>
      <c r="T12" s="33"/>
      <c r="U12" s="46">
        <f t="shared" si="5"/>
        <v>1.1538461538461537</v>
      </c>
      <c r="V12" s="47">
        <v>1.2</v>
      </c>
      <c r="W12" s="53">
        <f>V12/V23</f>
        <v>2.7422303473491772E-3</v>
      </c>
      <c r="X12" s="47">
        <f t="shared" si="1"/>
        <v>2.7981942319889566</v>
      </c>
      <c r="Y12" s="49">
        <f t="shared" si="6"/>
        <v>16.789165391933739</v>
      </c>
      <c r="Z12" s="47">
        <f t="shared" si="19"/>
        <v>1.2</v>
      </c>
      <c r="AA12" s="50">
        <f t="shared" si="14"/>
        <v>6.9954855799723923</v>
      </c>
      <c r="AC12" s="46">
        <f>AD12/K12</f>
        <v>0.33273809523809522</v>
      </c>
      <c r="AD12" s="47">
        <v>1</v>
      </c>
      <c r="AE12" s="53">
        <f>AD12/AD23</f>
        <v>2.280657741692704E-3</v>
      </c>
      <c r="AF12" s="47">
        <f t="shared" si="2"/>
        <v>2.3272017772374531</v>
      </c>
      <c r="AG12" s="49">
        <f t="shared" si="7"/>
        <v>13.96321066342472</v>
      </c>
      <c r="AH12" s="47">
        <f t="shared" si="20"/>
        <v>1.1627906976744187</v>
      </c>
      <c r="AI12" s="50">
        <f t="shared" si="15"/>
        <v>5.3525640876461429</v>
      </c>
      <c r="AK12" s="46">
        <f>AL12/S12</f>
        <v>0.58169129720853852</v>
      </c>
      <c r="AL12" s="47">
        <v>1</v>
      </c>
      <c r="AM12" s="53">
        <f>AL12/AL23</f>
        <v>9.1679196156808094E-4</v>
      </c>
      <c r="AN12" s="47">
        <f t="shared" si="3"/>
        <v>0.91679196156808096</v>
      </c>
      <c r="AO12" s="49">
        <f t="shared" si="8"/>
        <v>1.100150353881697E-3</v>
      </c>
      <c r="AP12" s="47">
        <f t="shared" si="21"/>
        <v>0.14285714285714285</v>
      </c>
      <c r="AQ12" s="50">
        <f t="shared" si="16"/>
        <v>2.9199823975943384</v>
      </c>
    </row>
    <row r="13" spans="1:44" ht="13.5" customHeight="1" x14ac:dyDescent="0.4">
      <c r="A13" s="64"/>
      <c r="B13" s="52">
        <v>8400</v>
      </c>
      <c r="C13" s="141">
        <v>1</v>
      </c>
      <c r="E13" s="46">
        <f t="shared" si="9"/>
        <v>0</v>
      </c>
      <c r="F13" s="47"/>
      <c r="G13" s="53">
        <f>F13/F23</f>
        <v>0</v>
      </c>
      <c r="H13" s="47" t="str">
        <f t="shared" si="10"/>
        <v/>
      </c>
      <c r="I13" s="49" t="str">
        <f t="shared" si="11"/>
        <v/>
      </c>
      <c r="J13" s="47" t="str">
        <f t="shared" si="17"/>
        <v/>
      </c>
      <c r="K13" s="50" t="str">
        <f t="shared" si="12"/>
        <v/>
      </c>
      <c r="M13" s="46"/>
      <c r="N13" s="47"/>
      <c r="O13" s="53"/>
      <c r="P13" s="47" t="str">
        <f t="shared" si="0"/>
        <v/>
      </c>
      <c r="Q13" s="49" t="str">
        <f t="shared" si="4"/>
        <v/>
      </c>
      <c r="R13" s="47" t="str">
        <f t="shared" si="18"/>
        <v/>
      </c>
      <c r="S13" s="50" t="str">
        <f t="shared" si="13"/>
        <v/>
      </c>
      <c r="T13" s="33"/>
      <c r="U13" s="46">
        <f t="shared" si="5"/>
        <v>0.5</v>
      </c>
      <c r="V13" s="47">
        <v>0.5</v>
      </c>
      <c r="W13" s="53">
        <f>V13/V23</f>
        <v>1.1425959780621572E-3</v>
      </c>
      <c r="X13" s="47">
        <f t="shared" si="1"/>
        <v>1.1659142633287318</v>
      </c>
      <c r="Y13" s="49">
        <f t="shared" si="6"/>
        <v>9.7936798119613471</v>
      </c>
      <c r="Z13" s="47">
        <f t="shared" si="19"/>
        <v>0.5</v>
      </c>
      <c r="AA13" s="50">
        <f t="shared" si="14"/>
        <v>2.9147856583218301</v>
      </c>
      <c r="AC13" s="46">
        <f>AD13/C13</f>
        <v>0.5</v>
      </c>
      <c r="AD13" s="47">
        <v>0.5</v>
      </c>
      <c r="AE13" s="53">
        <f>AD13/AD23</f>
        <v>1.140328870846352E-3</v>
      </c>
      <c r="AF13" s="47">
        <f t="shared" si="2"/>
        <v>1.1636008886187266</v>
      </c>
      <c r="AG13" s="49">
        <f t="shared" si="7"/>
        <v>9.7742474643973036</v>
      </c>
      <c r="AH13" s="47">
        <f t="shared" si="20"/>
        <v>0.58139534883720934</v>
      </c>
      <c r="AI13" s="50">
        <f t="shared" si="15"/>
        <v>2.6762820438230714</v>
      </c>
      <c r="AK13" s="46"/>
      <c r="AL13" s="47"/>
      <c r="AM13" s="53"/>
      <c r="AN13" s="47"/>
      <c r="AO13" s="49"/>
      <c r="AP13" s="47"/>
      <c r="AQ13" s="50"/>
    </row>
    <row r="14" spans="1:44" ht="13.5" customHeight="1" x14ac:dyDescent="0.4">
      <c r="A14" s="60" t="s">
        <v>550</v>
      </c>
      <c r="B14" s="52"/>
      <c r="C14" s="141">
        <v>0.98</v>
      </c>
      <c r="E14" s="46">
        <f t="shared" si="9"/>
        <v>1.5306122448979591</v>
      </c>
      <c r="F14" s="47">
        <v>1.5</v>
      </c>
      <c r="G14" s="53">
        <f>F14/F24</f>
        <v>5.0133689839572193E-3</v>
      </c>
      <c r="H14" s="47">
        <f t="shared" si="10"/>
        <v>3.3542039355992848</v>
      </c>
      <c r="I14" s="49">
        <f t="shared" si="11"/>
        <v>0</v>
      </c>
      <c r="J14" s="47">
        <f t="shared" si="17"/>
        <v>1.5</v>
      </c>
      <c r="K14" s="50">
        <f t="shared" si="12"/>
        <v>3.7567084078711992</v>
      </c>
      <c r="M14" s="46"/>
      <c r="N14" s="47">
        <v>1</v>
      </c>
      <c r="O14" s="53"/>
      <c r="P14" s="47">
        <f t="shared" si="0"/>
        <v>2.3523876734885909</v>
      </c>
      <c r="Q14" s="49">
        <f t="shared" si="4"/>
        <v>0</v>
      </c>
      <c r="R14" s="47">
        <f t="shared" si="18"/>
        <v>1</v>
      </c>
      <c r="S14" s="50">
        <f t="shared" si="13"/>
        <v>1.4326040931545518</v>
      </c>
      <c r="T14" s="33"/>
      <c r="U14" s="46"/>
      <c r="V14" s="47"/>
      <c r="W14" s="53"/>
      <c r="X14" s="47" t="str">
        <f t="shared" si="1"/>
        <v/>
      </c>
      <c r="Y14" s="49" t="str">
        <f t="shared" si="6"/>
        <v/>
      </c>
      <c r="Z14" s="47" t="str">
        <f t="shared" si="19"/>
        <v/>
      </c>
      <c r="AA14" s="50" t="str">
        <f t="shared" si="14"/>
        <v/>
      </c>
      <c r="AC14" s="46"/>
      <c r="AD14" s="47"/>
      <c r="AE14" s="53"/>
      <c r="AF14" s="47" t="str">
        <f t="shared" si="2"/>
        <v/>
      </c>
      <c r="AG14" s="49" t="str">
        <f t="shared" si="7"/>
        <v/>
      </c>
      <c r="AH14" s="47" t="str">
        <f t="shared" si="20"/>
        <v/>
      </c>
      <c r="AI14" s="50" t="str">
        <f t="shared" si="15"/>
        <v/>
      </c>
      <c r="AK14" s="46"/>
      <c r="AL14" s="47">
        <v>1.5</v>
      </c>
      <c r="AM14" s="53">
        <f>AL14/AL24</f>
        <v>1.564520839417581E-3</v>
      </c>
      <c r="AN14" s="47">
        <f t="shared" si="3"/>
        <v>1.3751879423521214</v>
      </c>
      <c r="AO14" s="49">
        <f t="shared" si="8"/>
        <v>2.062781913528182E-3</v>
      </c>
      <c r="AP14" s="47">
        <f t="shared" si="21"/>
        <v>0.2142857142857143</v>
      </c>
      <c r="AQ14" s="50">
        <f t="shared" si="16"/>
        <v>4.3799735963915074</v>
      </c>
    </row>
    <row r="15" spans="1:44" ht="13.5" customHeight="1" x14ac:dyDescent="0.4">
      <c r="A15" s="64" t="s">
        <v>191</v>
      </c>
      <c r="B15" s="52">
        <v>4000</v>
      </c>
      <c r="C15" s="140">
        <v>0.96</v>
      </c>
      <c r="E15" s="46">
        <f t="shared" si="9"/>
        <v>5.2083333333333339</v>
      </c>
      <c r="F15" s="47">
        <v>5</v>
      </c>
      <c r="G15" s="53">
        <f>F15/F23</f>
        <v>1.1180679785330949E-2</v>
      </c>
      <c r="H15" s="47">
        <f t="shared" si="10"/>
        <v>11.180679785330948</v>
      </c>
      <c r="I15" s="49">
        <f t="shared" si="11"/>
        <v>44.722719141323793</v>
      </c>
      <c r="J15" s="47">
        <f t="shared" si="17"/>
        <v>5</v>
      </c>
      <c r="K15" s="50">
        <f t="shared" si="12"/>
        <v>12.522361359570663</v>
      </c>
      <c r="M15" s="46">
        <f t="shared" si="22"/>
        <v>5.2083333333333339</v>
      </c>
      <c r="N15" s="47">
        <v>5</v>
      </c>
      <c r="O15" s="53">
        <f>N15/N23</f>
        <v>1.1761938367442956E-2</v>
      </c>
      <c r="P15" s="47">
        <f t="shared" si="0"/>
        <v>11.761938367442955</v>
      </c>
      <c r="Q15" s="49">
        <f t="shared" si="4"/>
        <v>47.04775346977182</v>
      </c>
      <c r="R15" s="62">
        <f t="shared" si="18"/>
        <v>5</v>
      </c>
      <c r="S15" s="50">
        <f t="shared" si="13"/>
        <v>7.1630204657727594</v>
      </c>
      <c r="T15" s="33"/>
      <c r="U15" s="46">
        <f t="shared" si="5"/>
        <v>4.166666666666667</v>
      </c>
      <c r="V15" s="47">
        <v>4</v>
      </c>
      <c r="W15" s="53">
        <f>V15/V23</f>
        <v>9.140767824497258E-3</v>
      </c>
      <c r="X15" s="47">
        <f t="shared" si="1"/>
        <v>9.3273141066298546</v>
      </c>
      <c r="Y15" s="49">
        <f t="shared" si="6"/>
        <v>37.309256426519418</v>
      </c>
      <c r="Z15" s="62">
        <f t="shared" si="19"/>
        <v>4</v>
      </c>
      <c r="AA15" s="50">
        <f t="shared" si="14"/>
        <v>23.318285266574641</v>
      </c>
      <c r="AC15" s="46">
        <f>AD15/K15</f>
        <v>0.45917857142857138</v>
      </c>
      <c r="AD15" s="47">
        <v>5.75</v>
      </c>
      <c r="AE15" s="53">
        <f>AD15/AD23</f>
        <v>1.3113782014733049E-2</v>
      </c>
      <c r="AF15" s="47">
        <f t="shared" si="2"/>
        <v>13.381410219115356</v>
      </c>
      <c r="AG15" s="49">
        <f t="shared" si="7"/>
        <v>53.525640876461424</v>
      </c>
      <c r="AH15" s="62">
        <f t="shared" si="20"/>
        <v>6.6860465116279064</v>
      </c>
      <c r="AI15" s="50">
        <f t="shared" si="15"/>
        <v>30.777243503965323</v>
      </c>
      <c r="AK15" s="46">
        <f>AL15/S15</f>
        <v>0.69802955665024635</v>
      </c>
      <c r="AL15" s="47">
        <v>5</v>
      </c>
      <c r="AM15" s="53">
        <f>AL15/AL23</f>
        <v>4.5839598078404051E-3</v>
      </c>
      <c r="AN15" s="47">
        <f t="shared" si="3"/>
        <v>4.5839598078404054</v>
      </c>
      <c r="AO15" s="49">
        <f t="shared" si="8"/>
        <v>2.2919799039202025E-2</v>
      </c>
      <c r="AP15" s="62">
        <f t="shared" si="21"/>
        <v>0.7142857142857143</v>
      </c>
      <c r="AQ15" s="50">
        <f t="shared" si="16"/>
        <v>14.599911987971693</v>
      </c>
    </row>
    <row r="16" spans="1:44" ht="13.5" customHeight="1" x14ac:dyDescent="0.4">
      <c r="A16" s="64" t="s">
        <v>192</v>
      </c>
      <c r="B16" s="52">
        <v>3500</v>
      </c>
      <c r="C16" s="140">
        <v>1.1000000000000001</v>
      </c>
      <c r="E16" s="46">
        <f t="shared" si="9"/>
        <v>4.545454545454545</v>
      </c>
      <c r="F16" s="47">
        <v>5</v>
      </c>
      <c r="G16" s="53">
        <f>F16/F23</f>
        <v>1.1180679785330949E-2</v>
      </c>
      <c r="H16" s="47">
        <f t="shared" si="10"/>
        <v>11.180679785330948</v>
      </c>
      <c r="I16" s="49">
        <f t="shared" si="11"/>
        <v>39.132379248658317</v>
      </c>
      <c r="J16" s="47">
        <f t="shared" si="17"/>
        <v>5</v>
      </c>
      <c r="K16" s="50">
        <f t="shared" si="12"/>
        <v>12.522361359570663</v>
      </c>
      <c r="M16" s="46">
        <f t="shared" si="22"/>
        <v>4.545454545454545</v>
      </c>
      <c r="N16" s="47">
        <v>5</v>
      </c>
      <c r="O16" s="53">
        <f>N16/N23</f>
        <v>1.1761938367442956E-2</v>
      </c>
      <c r="P16" s="47">
        <f t="shared" si="0"/>
        <v>11.761938367442955</v>
      </c>
      <c r="Q16" s="49">
        <f t="shared" si="4"/>
        <v>41.166784286050344</v>
      </c>
      <c r="R16" s="47">
        <f t="shared" si="18"/>
        <v>5</v>
      </c>
      <c r="S16" s="50">
        <f t="shared" si="13"/>
        <v>7.1630204657727594</v>
      </c>
      <c r="T16" s="66"/>
      <c r="U16" s="46">
        <f t="shared" si="5"/>
        <v>3.6363636363636362</v>
      </c>
      <c r="V16" s="47">
        <v>4</v>
      </c>
      <c r="W16" s="53">
        <f>V16/V23</f>
        <v>9.140767824497258E-3</v>
      </c>
      <c r="X16" s="47">
        <f t="shared" si="1"/>
        <v>9.3273141066298546</v>
      </c>
      <c r="Y16" s="49">
        <f t="shared" si="6"/>
        <v>32.64559937320449</v>
      </c>
      <c r="Z16" s="47">
        <f t="shared" si="19"/>
        <v>4</v>
      </c>
      <c r="AA16" s="50">
        <f t="shared" si="14"/>
        <v>23.318285266574641</v>
      </c>
      <c r="AC16" s="46">
        <f>AD16/K16</f>
        <v>0.51907142857142852</v>
      </c>
      <c r="AD16" s="47">
        <v>6.5</v>
      </c>
      <c r="AE16" s="53">
        <f>AD16/AD23</f>
        <v>1.4824275321002577E-2</v>
      </c>
      <c r="AF16" s="47">
        <f t="shared" si="2"/>
        <v>15.126811552043446</v>
      </c>
      <c r="AG16" s="49">
        <f t="shared" si="7"/>
        <v>52.943840432152058</v>
      </c>
      <c r="AH16" s="47">
        <f t="shared" si="20"/>
        <v>7.5581395348837201</v>
      </c>
      <c r="AI16" s="50">
        <f t="shared" si="15"/>
        <v>34.791666569699927</v>
      </c>
      <c r="AK16" s="46">
        <f>AL16/S16</f>
        <v>0.90743842364532024</v>
      </c>
      <c r="AL16" s="47">
        <v>6.5</v>
      </c>
      <c r="AM16" s="53">
        <f>AL16/AL23</f>
        <v>5.9591477501925267E-3</v>
      </c>
      <c r="AN16" s="47">
        <f t="shared" si="3"/>
        <v>5.9591477501925265</v>
      </c>
      <c r="AO16" s="49">
        <f t="shared" si="8"/>
        <v>2.9795738750962635E-2</v>
      </c>
      <c r="AP16" s="47">
        <f t="shared" si="21"/>
        <v>0.9285714285714286</v>
      </c>
      <c r="AQ16" s="50">
        <f t="shared" si="16"/>
        <v>18.979885584363199</v>
      </c>
    </row>
    <row r="17" spans="1:43" ht="13.5" customHeight="1" x14ac:dyDescent="0.4">
      <c r="B17" s="67"/>
      <c r="C17" s="141"/>
      <c r="E17" s="46"/>
      <c r="F17" s="56"/>
      <c r="G17" s="56"/>
      <c r="H17" s="56"/>
      <c r="I17" s="57"/>
      <c r="J17" s="56"/>
      <c r="K17" s="292"/>
      <c r="M17" s="46"/>
      <c r="N17" s="56"/>
      <c r="O17" s="56"/>
      <c r="P17" s="56" t="str">
        <f t="shared" si="0"/>
        <v/>
      </c>
      <c r="Q17" s="57"/>
      <c r="R17" s="56" t="str">
        <f t="shared" si="18"/>
        <v/>
      </c>
      <c r="S17" s="58"/>
      <c r="U17" s="46"/>
      <c r="V17" s="56"/>
      <c r="W17" s="56"/>
      <c r="X17" s="56" t="str">
        <f t="shared" si="1"/>
        <v/>
      </c>
      <c r="Y17" s="57" t="str">
        <f t="shared" si="6"/>
        <v/>
      </c>
      <c r="Z17" s="56" t="str">
        <f t="shared" si="19"/>
        <v/>
      </c>
      <c r="AA17" s="58"/>
      <c r="AC17" s="46"/>
      <c r="AD17" s="56"/>
      <c r="AE17" s="56"/>
      <c r="AF17" s="56" t="str">
        <f t="shared" si="2"/>
        <v/>
      </c>
      <c r="AG17" s="57" t="str">
        <f t="shared" si="7"/>
        <v/>
      </c>
      <c r="AH17" s="56" t="str">
        <f t="shared" si="20"/>
        <v/>
      </c>
      <c r="AI17" s="58"/>
      <c r="AK17" s="46"/>
      <c r="AL17" s="56"/>
      <c r="AM17" s="56"/>
      <c r="AN17" s="56" t="str">
        <f t="shared" si="3"/>
        <v/>
      </c>
      <c r="AO17" s="57" t="str">
        <f t="shared" si="8"/>
        <v/>
      </c>
      <c r="AP17" s="56" t="str">
        <f t="shared" si="21"/>
        <v/>
      </c>
      <c r="AQ17" s="58"/>
    </row>
    <row r="18" spans="1:43" ht="13.5" customHeight="1" x14ac:dyDescent="0.4">
      <c r="A18" s="64" t="s">
        <v>193</v>
      </c>
      <c r="B18" s="52">
        <v>100</v>
      </c>
      <c r="C18" s="142">
        <v>2.7</v>
      </c>
      <c r="E18" s="46">
        <f>F18/C18</f>
        <v>62.962962962962962</v>
      </c>
      <c r="F18" s="47">
        <v>170</v>
      </c>
      <c r="G18" s="53">
        <f>F18/F23</f>
        <v>0.38014311270125223</v>
      </c>
      <c r="H18" s="47">
        <f>IF(F18="","",F18/F$23*(1000/H$24))</f>
        <v>380.14311270125222</v>
      </c>
      <c r="I18" s="49">
        <f>IF(F18="","",B18*H18/1000)</f>
        <v>38.014311270125226</v>
      </c>
      <c r="J18" s="47">
        <f>IF(F18="","",F18/SUM(F$5:F$6)*100)</f>
        <v>170</v>
      </c>
      <c r="K18" s="50">
        <f>IF(H18="","",H18*(K$23/H$23))</f>
        <v>425.76028622540252</v>
      </c>
      <c r="M18" s="46">
        <f t="shared" si="22"/>
        <v>62.962962962962962</v>
      </c>
      <c r="N18" s="47">
        <v>170</v>
      </c>
      <c r="O18" s="53">
        <f>N18/N23</f>
        <v>0.39990590449306052</v>
      </c>
      <c r="P18" s="47">
        <f t="shared" si="0"/>
        <v>399.90590449306052</v>
      </c>
      <c r="Q18" s="49">
        <f>IF(N18="","",B18*P18/1000)</f>
        <v>39.990590449306055</v>
      </c>
      <c r="R18" s="47">
        <f t="shared" si="18"/>
        <v>170</v>
      </c>
      <c r="S18" s="50">
        <f>IF(P18="","",P18*(S$23/P$23))</f>
        <v>243.54269583627385</v>
      </c>
      <c r="T18" s="66"/>
      <c r="U18" s="46">
        <f t="shared" si="5"/>
        <v>68.518518518518519</v>
      </c>
      <c r="V18" s="47">
        <v>185</v>
      </c>
      <c r="W18" s="53">
        <f>V18/V23</f>
        <v>0.42276051188299812</v>
      </c>
      <c r="X18" s="47">
        <f t="shared" si="1"/>
        <v>431.38827743163074</v>
      </c>
      <c r="Y18" s="49">
        <f t="shared" si="6"/>
        <v>43.13882774316307</v>
      </c>
      <c r="Z18" s="47">
        <f t="shared" si="19"/>
        <v>185</v>
      </c>
      <c r="AA18" s="50">
        <f>IF(X18="","",X18*(AA$23/X$23))</f>
        <v>1078.4706935790771</v>
      </c>
      <c r="AC18" s="46">
        <f>AD18/K18</f>
        <v>0.43451680672268905</v>
      </c>
      <c r="AD18" s="47">
        <v>185</v>
      </c>
      <c r="AE18" s="53">
        <f>AD18/AD23</f>
        <v>0.42192168221315024</v>
      </c>
      <c r="AF18" s="47">
        <f t="shared" si="2"/>
        <v>430.53232878892885</v>
      </c>
      <c r="AG18" s="49">
        <f t="shared" si="7"/>
        <v>43.053232878892885</v>
      </c>
      <c r="AH18" s="47">
        <f t="shared" si="20"/>
        <v>215.11627906976742</v>
      </c>
      <c r="AI18" s="50">
        <f>IF(AF18="","",AF18*(AI$23/AF$23))</f>
        <v>990.22435621453644</v>
      </c>
      <c r="AK18" s="46">
        <f>AL18/S18</f>
        <v>0.75962039988409147</v>
      </c>
      <c r="AL18" s="47">
        <v>185</v>
      </c>
      <c r="AM18" s="53">
        <f>AL18/AL23</f>
        <v>0.16960651289009498</v>
      </c>
      <c r="AN18" s="47">
        <f t="shared" si="3"/>
        <v>169.60651289009499</v>
      </c>
      <c r="AO18" s="49">
        <f t="shared" si="8"/>
        <v>28.833107191316145</v>
      </c>
      <c r="AP18" s="47">
        <f t="shared" si="21"/>
        <v>26.428571428571431</v>
      </c>
      <c r="AQ18" s="50">
        <f>IF(AN18="","",AN18*(AQ$23/AN$23))</f>
        <v>540.1967435549526</v>
      </c>
    </row>
    <row r="19" spans="1:43" ht="13.5" customHeight="1" x14ac:dyDescent="0.4">
      <c r="A19" s="64" t="s">
        <v>230</v>
      </c>
      <c r="B19" s="52">
        <v>5360</v>
      </c>
      <c r="C19" s="141">
        <v>1.5</v>
      </c>
      <c r="E19" s="46">
        <f>F19/C19</f>
        <v>1</v>
      </c>
      <c r="F19" s="62">
        <v>1.5</v>
      </c>
      <c r="G19" s="53">
        <f>F19/F23</f>
        <v>3.3542039355992847E-3</v>
      </c>
      <c r="H19" s="47">
        <f>IF(F19="","",F19/F$23*(1000/H$24))</f>
        <v>3.3542039355992848</v>
      </c>
      <c r="I19" s="49">
        <f>IF(F19="","",B19*H19/1000)</f>
        <v>17.978533094812168</v>
      </c>
      <c r="J19" s="47">
        <f>IF(F19="","",F19/SUM(F$5:F$6)*100)</f>
        <v>1.5</v>
      </c>
      <c r="K19" s="50">
        <f>IF(H19="","",H19*(K$23/H$23))</f>
        <v>3.7567084078711992</v>
      </c>
      <c r="M19" s="46">
        <f t="shared" si="22"/>
        <v>1.4666666666666668</v>
      </c>
      <c r="N19" s="47">
        <v>2.2000000000000002</v>
      </c>
      <c r="O19" s="53">
        <f>N19/N23</f>
        <v>5.1752528816749006E-3</v>
      </c>
      <c r="P19" s="47">
        <f t="shared" si="0"/>
        <v>5.1752528816749006</v>
      </c>
      <c r="Q19" s="49">
        <f>IF(N19="","",B19*P19/1000)</f>
        <v>27.739355445777466</v>
      </c>
      <c r="R19" s="47">
        <f t="shared" si="18"/>
        <v>2.2000000000000002</v>
      </c>
      <c r="S19" s="50">
        <f>IF(P19="","",P19*(S$23/P$23))</f>
        <v>3.1517290049400142</v>
      </c>
      <c r="T19" s="33"/>
      <c r="U19" s="46">
        <f t="shared" si="5"/>
        <v>0.79999999999999993</v>
      </c>
      <c r="V19" s="47">
        <v>1.2</v>
      </c>
      <c r="W19" s="53">
        <f>V19/V23</f>
        <v>2.7422303473491772E-3</v>
      </c>
      <c r="X19" s="47">
        <f t="shared" si="1"/>
        <v>2.7981942319889566</v>
      </c>
      <c r="Y19" s="49">
        <f t="shared" si="6"/>
        <v>14.998321083460807</v>
      </c>
      <c r="Z19" s="47">
        <f t="shared" si="19"/>
        <v>1.2</v>
      </c>
      <c r="AA19" s="50">
        <f>IF(X19="","",X19*(AA$23/X$23))</f>
        <v>6.9954855799723923</v>
      </c>
      <c r="AC19" s="46">
        <f>AD19/K19</f>
        <v>1.0115238095238093</v>
      </c>
      <c r="AD19" s="47">
        <v>3.8</v>
      </c>
      <c r="AE19" s="53">
        <f>AD19/AD23</f>
        <v>8.6664994184322743E-3</v>
      </c>
      <c r="AF19" s="47">
        <f t="shared" si="2"/>
        <v>8.8433667535023215</v>
      </c>
      <c r="AG19" s="49">
        <f t="shared" si="7"/>
        <v>47.400445798772445</v>
      </c>
      <c r="AH19" s="47">
        <f t="shared" si="20"/>
        <v>4.4186046511627906</v>
      </c>
      <c r="AI19" s="50">
        <f>IF(AF19="","",AF19*(AI$23/AF$23))</f>
        <v>20.339743533055341</v>
      </c>
      <c r="AK19" s="46">
        <f>AL19/S19</f>
        <v>5.9522884012539192</v>
      </c>
      <c r="AL19" s="47">
        <v>18.760000000000002</v>
      </c>
      <c r="AM19" s="53">
        <f>AL19/AL23</f>
        <v>1.7199017199017199E-2</v>
      </c>
      <c r="AN19" s="47">
        <f t="shared" si="3"/>
        <v>17.199017199017199</v>
      </c>
      <c r="AO19" s="49">
        <f t="shared" si="8"/>
        <v>2.5798525798525797E-2</v>
      </c>
      <c r="AP19" s="47">
        <f t="shared" si="21"/>
        <v>2.68</v>
      </c>
      <c r="AQ19" s="50">
        <f>IF(AN19="","",AN19*(AQ$23/AN$23))</f>
        <v>54.778869778869783</v>
      </c>
    </row>
    <row r="20" spans="1:43" ht="14.25" customHeight="1" x14ac:dyDescent="0.4">
      <c r="A20" s="68" t="s">
        <v>194</v>
      </c>
      <c r="B20" s="52">
        <v>5149</v>
      </c>
      <c r="C20" s="141">
        <v>2.0499999999999998</v>
      </c>
      <c r="E20" s="46">
        <f>F20/C20</f>
        <v>1.9512195121951221</v>
      </c>
      <c r="F20" s="47">
        <v>4</v>
      </c>
      <c r="G20" s="53">
        <f>F20/F23</f>
        <v>8.9445438282647581E-3</v>
      </c>
      <c r="H20" s="47">
        <f>IF(F20="","",F20/F$23*(1000/H$24))</f>
        <v>8.9445438282647576</v>
      </c>
      <c r="I20" s="49">
        <f>IF(F20="","",B20*H20/1000)</f>
        <v>46.05545617173523</v>
      </c>
      <c r="J20" s="47">
        <f>IF(F20="","",F20/SUM(F$5:F$6)*100)</f>
        <v>4</v>
      </c>
      <c r="K20" s="50">
        <f>IF(H20="","",H20*(K$23/H$23))</f>
        <v>10.017889087656529</v>
      </c>
      <c r="M20" s="46">
        <f t="shared" si="22"/>
        <v>1.7073170731707319</v>
      </c>
      <c r="N20" s="47">
        <v>3.5</v>
      </c>
      <c r="O20" s="53">
        <f>N20/N23</f>
        <v>8.2333568572100693E-3</v>
      </c>
      <c r="P20" s="47">
        <f t="shared" si="0"/>
        <v>8.2333568572100688</v>
      </c>
      <c r="Q20" s="49">
        <f>IF(N20="","",B20*P20/1000)</f>
        <v>42.393554457774648</v>
      </c>
      <c r="R20" s="47">
        <f t="shared" si="18"/>
        <v>3.5000000000000004</v>
      </c>
      <c r="S20" s="50">
        <f>IF(P20="","",P20*(S$23/P$23))</f>
        <v>5.0141143260409322</v>
      </c>
      <c r="T20" s="33"/>
      <c r="U20" s="46">
        <f t="shared" si="5"/>
        <v>0.53658536585365868</v>
      </c>
      <c r="V20" s="47">
        <v>1.1000000000000001</v>
      </c>
      <c r="W20" s="53">
        <f>V20/V23</f>
        <v>2.5137111517367461E-3</v>
      </c>
      <c r="X20" s="47">
        <f t="shared" si="1"/>
        <v>2.5650113793232103</v>
      </c>
      <c r="Y20" s="49">
        <f t="shared" si="6"/>
        <v>13.20724359213521</v>
      </c>
      <c r="Z20" s="47">
        <f t="shared" si="19"/>
        <v>1.1000000000000001</v>
      </c>
      <c r="AA20" s="50">
        <f>IF(X20="","",X20*(AA$23/X$23))</f>
        <v>6.4125284483080272</v>
      </c>
      <c r="AC20" s="46">
        <f>AD20/K20</f>
        <v>0.10980357142857144</v>
      </c>
      <c r="AD20" s="47">
        <v>1.1000000000000001</v>
      </c>
      <c r="AE20" s="53">
        <f>AD20/AD23</f>
        <v>2.5087235158619747E-3</v>
      </c>
      <c r="AF20" s="47">
        <f t="shared" si="2"/>
        <v>2.5599219549611987</v>
      </c>
      <c r="AG20" s="49">
        <f t="shared" si="7"/>
        <v>13.181038146095212</v>
      </c>
      <c r="AH20" s="47">
        <f t="shared" si="20"/>
        <v>1.2790697674418605</v>
      </c>
      <c r="AI20" s="50">
        <f>IF(AF20="","",AF20*(AI$23/AF$23))</f>
        <v>5.8878204964107574</v>
      </c>
      <c r="AK20" s="46">
        <f>AL20/S20</f>
        <v>3.4901477832512309</v>
      </c>
      <c r="AL20" s="47">
        <v>17.5</v>
      </c>
      <c r="AM20" s="53">
        <f>AL20/AL23</f>
        <v>1.6043859327441418E-2</v>
      </c>
      <c r="AN20" s="47">
        <f t="shared" si="3"/>
        <v>16.043859327441417</v>
      </c>
      <c r="AO20" s="49">
        <f t="shared" si="8"/>
        <v>6.4175437309765673E-2</v>
      </c>
      <c r="AP20" s="47">
        <f t="shared" si="21"/>
        <v>2.5</v>
      </c>
      <c r="AQ20" s="50">
        <f>IF(AN20="","",AN20*(AQ$23/AN$23))</f>
        <v>51.099691957900923</v>
      </c>
    </row>
    <row r="21" spans="1:43" ht="14.25" customHeight="1" x14ac:dyDescent="0.4">
      <c r="A21" s="64" t="s">
        <v>195</v>
      </c>
      <c r="B21" s="52">
        <v>1050</v>
      </c>
      <c r="C21" s="142">
        <v>2.54</v>
      </c>
      <c r="E21" s="46">
        <f>F21/C21</f>
        <v>58.267716535433067</v>
      </c>
      <c r="F21" s="47">
        <v>148</v>
      </c>
      <c r="G21" s="53">
        <f>F21/F23</f>
        <v>0.33094812164579607</v>
      </c>
      <c r="H21" s="47">
        <f>IF(F21="","",F21/F$23*(1000/H$24))</f>
        <v>330.94812164579605</v>
      </c>
      <c r="I21" s="49">
        <f>IF(F21="","",B21*H21/1000)</f>
        <v>347.49552772808585</v>
      </c>
      <c r="J21" s="69">
        <f>IF(F21="","",F21/F$23)</f>
        <v>0.33094812164579607</v>
      </c>
      <c r="K21" s="50">
        <f>IF(H21="","",H21*(K$23/H$23))</f>
        <v>370.66189624329161</v>
      </c>
      <c r="M21" s="46">
        <f t="shared" si="22"/>
        <v>49.606299212598422</v>
      </c>
      <c r="N21" s="47">
        <v>126</v>
      </c>
      <c r="O21" s="53">
        <f>N21/N23</f>
        <v>0.29640084685956247</v>
      </c>
      <c r="P21" s="47">
        <f t="shared" si="0"/>
        <v>296.40084685956248</v>
      </c>
      <c r="Q21" s="49">
        <f>IF(N21="","",B21*P21/1000)</f>
        <v>311.2208892025406</v>
      </c>
      <c r="R21" s="70">
        <f t="shared" si="18"/>
        <v>126</v>
      </c>
      <c r="S21" s="50">
        <f>IF(P21="","",P21*(S$23/P$23))</f>
        <v>180.50811573747353</v>
      </c>
      <c r="T21" s="33"/>
      <c r="U21" s="46">
        <f t="shared" si="5"/>
        <v>51.968503937007874</v>
      </c>
      <c r="V21" s="47">
        <v>132</v>
      </c>
      <c r="W21" s="53">
        <f>V21/V23</f>
        <v>0.3016453382084095</v>
      </c>
      <c r="X21" s="47">
        <f t="shared" si="1"/>
        <v>307.80136551878519</v>
      </c>
      <c r="Y21" s="49">
        <f t="shared" si="6"/>
        <v>323.19143379472445</v>
      </c>
      <c r="Z21" s="70">
        <f t="shared" si="19"/>
        <v>132</v>
      </c>
      <c r="AA21" s="50">
        <f>IF(X21="","",X21*(AA$23/X$23))</f>
        <v>769.50341379696306</v>
      </c>
      <c r="AC21" s="46">
        <f>AD21/K21</f>
        <v>0.35611969111969111</v>
      </c>
      <c r="AD21" s="47">
        <v>132</v>
      </c>
      <c r="AE21" s="53">
        <f>AD21/AD23</f>
        <v>0.30104682190343696</v>
      </c>
      <c r="AF21" s="47">
        <f t="shared" si="2"/>
        <v>307.19063459534385</v>
      </c>
      <c r="AG21" s="49">
        <f t="shared" si="7"/>
        <v>322.55016632511104</v>
      </c>
      <c r="AH21" s="70">
        <f t="shared" si="20"/>
        <v>153.48837209302326</v>
      </c>
      <c r="AI21" s="50">
        <f>IF(AF21="","",AF21*(AI$23/AF$23))</f>
        <v>706.53845956929092</v>
      </c>
      <c r="AK21" s="46">
        <f>AL21/S21</f>
        <v>0.73126905934787712</v>
      </c>
      <c r="AL21" s="47">
        <v>132</v>
      </c>
      <c r="AM21" s="53">
        <f>AL21/AL23</f>
        <v>0.12101653892698669</v>
      </c>
      <c r="AN21" s="47">
        <f t="shared" si="3"/>
        <v>121.01653892698668</v>
      </c>
      <c r="AO21" s="49">
        <f t="shared" si="8"/>
        <v>4.0050196245961601E-2</v>
      </c>
      <c r="AP21" s="70">
        <f t="shared" si="21"/>
        <v>18.857142857142858</v>
      </c>
      <c r="AQ21" s="50">
        <f>IF(AN21="","",AN21*(AQ$23/AN$23))</f>
        <v>385.43767648245267</v>
      </c>
    </row>
    <row r="22" spans="1:43" ht="13.5" customHeight="1" thickBot="1" x14ac:dyDescent="0.45">
      <c r="A22" s="71"/>
      <c r="B22" s="72"/>
      <c r="C22" s="143"/>
      <c r="E22" s="73"/>
      <c r="F22" s="74"/>
      <c r="G22" s="74"/>
      <c r="H22" s="74" t="str">
        <f>IF(F22="","",F22/F$23*(1000/H$24))</f>
        <v/>
      </c>
      <c r="I22" s="75" t="str">
        <f>IF(F22="","",#REF!*H22/1000)</f>
        <v/>
      </c>
      <c r="J22" s="76" t="str">
        <f>IF(F22="","",F22/F$23)</f>
        <v/>
      </c>
      <c r="K22" s="77" t="str">
        <f>IF(H22="","",H22*(K$23/H$23))</f>
        <v/>
      </c>
      <c r="M22" s="73"/>
      <c r="N22" s="74"/>
      <c r="O22" s="74"/>
      <c r="P22" s="74" t="str">
        <f t="shared" si="0"/>
        <v/>
      </c>
      <c r="Q22" s="75" t="str">
        <f>IF(N22="","",B22*P22/1000)</f>
        <v/>
      </c>
      <c r="R22" s="76" t="str">
        <f>IF(N22="","",N22/N$23)</f>
        <v/>
      </c>
      <c r="S22" s="77" t="str">
        <f>IF(P22="","",P22*(S$23/P$23))</f>
        <v/>
      </c>
      <c r="T22" s="33"/>
      <c r="U22" s="73"/>
      <c r="V22" s="74"/>
      <c r="W22" s="74"/>
      <c r="X22" s="74" t="str">
        <f t="shared" si="1"/>
        <v/>
      </c>
      <c r="Y22" s="75" t="str">
        <f>IF(V22="","",J22*X22/1000)</f>
        <v/>
      </c>
      <c r="Z22" s="76" t="str">
        <f>IF(V22="","",V22/V$23)</f>
        <v/>
      </c>
      <c r="AA22" s="77" t="str">
        <f>IF(X22="","",X22*(AA$23/X$23))</f>
        <v/>
      </c>
      <c r="AC22" s="73"/>
      <c r="AD22" s="74"/>
      <c r="AE22" s="74"/>
      <c r="AF22" s="74" t="str">
        <f t="shared" si="2"/>
        <v/>
      </c>
      <c r="AG22" s="75" t="str">
        <f>IF(AD22="","",R22*AF22/1000)</f>
        <v/>
      </c>
      <c r="AH22" s="76" t="str">
        <f>IF(AD22="","",AD22/AD$23)</f>
        <v/>
      </c>
      <c r="AI22" s="77" t="str">
        <f>IF(AF22="","",AF22*(AI$23/AF$23))</f>
        <v/>
      </c>
      <c r="AK22" s="73"/>
      <c r="AL22" s="74"/>
      <c r="AM22" s="74"/>
      <c r="AN22" s="74" t="str">
        <f t="shared" si="3"/>
        <v/>
      </c>
      <c r="AO22" s="75" t="str">
        <f>IF(AL22="","",Z22*AN22/1000)</f>
        <v/>
      </c>
      <c r="AP22" s="76" t="str">
        <f>IF(AL22="","",AL22/AL$23)</f>
        <v/>
      </c>
      <c r="AQ22" s="77" t="str">
        <f>IF(AN22="","",AN22*(AQ$23/AN$23))</f>
        <v/>
      </c>
    </row>
    <row r="23" spans="1:43" ht="20.100000000000001" customHeight="1" x14ac:dyDescent="0.4">
      <c r="A23" s="78"/>
      <c r="B23" s="79"/>
      <c r="C23" s="80"/>
      <c r="E23" s="81">
        <f>SUM(E5:E22)</f>
        <v>242.08854943299787</v>
      </c>
      <c r="F23" s="82">
        <f>SUM(F5:F22)</f>
        <v>447.2</v>
      </c>
      <c r="G23" s="82"/>
      <c r="H23" s="83">
        <f>SUM(H5:H22)</f>
        <v>999.99999999999989</v>
      </c>
      <c r="I23" s="83"/>
      <c r="J23" s="84"/>
      <c r="K23" s="85">
        <f>K4/H24</f>
        <v>1120</v>
      </c>
      <c r="M23" s="81">
        <f>SUM(M5:M22)</f>
        <v>230.39713369428657</v>
      </c>
      <c r="N23" s="86">
        <f>SUM(N5:N22)</f>
        <v>425.09999999999997</v>
      </c>
      <c r="O23" s="82"/>
      <c r="P23" s="83">
        <f>SUM(P5:P22)</f>
        <v>1000</v>
      </c>
      <c r="Q23" s="83"/>
      <c r="R23" s="84"/>
      <c r="S23" s="85">
        <f>S4/P24</f>
        <v>609</v>
      </c>
      <c r="T23" s="33"/>
      <c r="U23" s="81">
        <f>SUM(U5:U22)</f>
        <v>234.67973208926904</v>
      </c>
      <c r="V23" s="86">
        <f>SUM(V5:V22)</f>
        <v>437.6</v>
      </c>
      <c r="W23" s="82"/>
      <c r="X23" s="83">
        <f>SUM(X5:X22)</f>
        <v>1020.408163265306</v>
      </c>
      <c r="Y23" s="83"/>
      <c r="Z23" s="84"/>
      <c r="AA23" s="85">
        <f>AA4/X24</f>
        <v>2551.0204081632655</v>
      </c>
      <c r="AC23" s="81">
        <f>SUM(AC5:AC22)</f>
        <v>5.6763337427403382</v>
      </c>
      <c r="AD23" s="86">
        <f>SUM(AD5:AD22)</f>
        <v>438.47</v>
      </c>
      <c r="AE23" s="82"/>
      <c r="AF23" s="83">
        <f>SUM(AF5:AF22)</f>
        <v>1020.408163265306</v>
      </c>
      <c r="AG23" s="83"/>
      <c r="AH23" s="84"/>
      <c r="AI23" s="85">
        <f>AI4/AF24</f>
        <v>2346.9387755102043</v>
      </c>
      <c r="AK23" s="81">
        <f>SUM(AK5:AK22)</f>
        <v>34.089292803014629</v>
      </c>
      <c r="AL23" s="86">
        <f>SUM(AL5:AL22)</f>
        <v>1090.76</v>
      </c>
      <c r="AM23" s="82"/>
      <c r="AN23" s="83">
        <f>SUM(AN5:AN22)</f>
        <v>999.99999999999989</v>
      </c>
      <c r="AO23" s="83"/>
      <c r="AP23" s="84"/>
      <c r="AQ23" s="85">
        <f>AQ4/AN24</f>
        <v>3185</v>
      </c>
    </row>
    <row r="24" spans="1:43" ht="20.100000000000001" customHeight="1" thickBot="1" x14ac:dyDescent="0.45">
      <c r="A24" s="87"/>
      <c r="B24" s="88"/>
      <c r="C24" s="89"/>
      <c r="E24" s="90">
        <f>SUM(E5:E20)</f>
        <v>183.8208328975648</v>
      </c>
      <c r="F24" s="91">
        <f>SUM(F5:F20)</f>
        <v>299.2</v>
      </c>
      <c r="G24" s="91"/>
      <c r="H24" s="92">
        <v>1</v>
      </c>
      <c r="I24" s="93">
        <f>SUM(I5:I22)</f>
        <v>1298.4928443649374</v>
      </c>
      <c r="J24" s="94"/>
      <c r="K24" s="95"/>
      <c r="L24" s="59"/>
      <c r="M24" s="90">
        <f>SUM(M5:M20)</f>
        <v>180.79083448168814</v>
      </c>
      <c r="N24" s="96">
        <f>SUM(N5:N20)</f>
        <v>299.09999999999997</v>
      </c>
      <c r="O24" s="91"/>
      <c r="P24" s="92">
        <v>1</v>
      </c>
      <c r="Q24" s="93">
        <f>SUM(Q5:Q22)</f>
        <v>1316.3573276876029</v>
      </c>
      <c r="R24" s="94"/>
      <c r="S24" s="95"/>
      <c r="T24" s="33"/>
      <c r="U24" s="90"/>
      <c r="V24" s="96">
        <f>SUM(V5:V20)</f>
        <v>305.60000000000002</v>
      </c>
      <c r="W24" s="91"/>
      <c r="X24" s="92">
        <v>0.98</v>
      </c>
      <c r="Y24" s="93">
        <f>SUM(Y5:Y22)</f>
        <v>1229.8900776032533</v>
      </c>
      <c r="Z24" s="94"/>
      <c r="AA24" s="95"/>
      <c r="AC24" s="90"/>
      <c r="AD24" s="96">
        <f>SUM(AD5:AD20)</f>
        <v>306.47000000000003</v>
      </c>
      <c r="AE24" s="91"/>
      <c r="AF24" s="92">
        <v>0.98</v>
      </c>
      <c r="AG24" s="93">
        <f>SUM(AG5:AG22)</f>
        <v>1247.4823167572958</v>
      </c>
      <c r="AH24" s="94"/>
      <c r="AI24" s="95"/>
      <c r="AK24" s="90"/>
      <c r="AL24" s="96">
        <f>SUM(AL5:AL20)</f>
        <v>958.76</v>
      </c>
      <c r="AM24" s="91"/>
      <c r="AN24" s="92">
        <v>1</v>
      </c>
      <c r="AO24" s="93">
        <f>SUM(AO5:AO22)</f>
        <v>66.305604920097437</v>
      </c>
      <c r="AP24" s="94"/>
      <c r="AQ24" s="95"/>
    </row>
    <row r="25" spans="1:43" ht="20.100000000000001" customHeight="1" x14ac:dyDescent="0.4">
      <c r="A25" s="97"/>
      <c r="B25" s="97"/>
      <c r="C25" s="98"/>
      <c r="D25" s="98"/>
      <c r="E25" s="99" t="s">
        <v>231</v>
      </c>
      <c r="F25" s="100">
        <f>F23/E23</f>
        <v>1.8472579601447454</v>
      </c>
      <c r="G25" s="101"/>
      <c r="H25" s="101"/>
      <c r="I25" s="102"/>
      <c r="J25" s="103"/>
      <c r="K25" s="104"/>
      <c r="L25" s="97"/>
      <c r="M25" s="105" t="s">
        <v>197</v>
      </c>
      <c r="N25" s="106">
        <f>N23/M23</f>
        <v>1.845075037105558</v>
      </c>
      <c r="T25" s="33"/>
      <c r="U25" s="105" t="s">
        <v>196</v>
      </c>
      <c r="V25" s="106">
        <f>V23/U23</f>
        <v>1.864668909002942</v>
      </c>
    </row>
    <row r="26" spans="1:43" s="107" customFormat="1" ht="15" customHeight="1" x14ac:dyDescent="0.4">
      <c r="E26" s="105" t="s">
        <v>232</v>
      </c>
      <c r="F26" s="106">
        <f>F24/E24</f>
        <v>1.6276718763793812</v>
      </c>
      <c r="H26" s="144"/>
      <c r="I26" s="107" t="s">
        <v>577</v>
      </c>
      <c r="M26" s="105" t="s">
        <v>232</v>
      </c>
      <c r="N26" s="106">
        <f>N24/M24</f>
        <v>1.6543980277401455</v>
      </c>
      <c r="T26" s="33"/>
      <c r="U26" s="33"/>
      <c r="V26" s="33"/>
    </row>
    <row r="27" spans="1:43" s="107" customFormat="1" ht="15" customHeight="1" x14ac:dyDescent="0.4">
      <c r="I27" s="107" t="s">
        <v>578</v>
      </c>
    </row>
    <row r="28" spans="1:43" s="107" customFormat="1" ht="15" customHeight="1" x14ac:dyDescent="0.4">
      <c r="I28" s="107" t="s">
        <v>579</v>
      </c>
    </row>
    <row r="29" spans="1:43" s="107" customFormat="1" ht="15" customHeight="1" x14ac:dyDescent="0.4"/>
    <row r="30" spans="1:43" ht="13.5" customHeight="1" x14ac:dyDescent="0.4"/>
    <row r="31" spans="1:43" ht="13.5" customHeight="1" thickBot="1" x14ac:dyDescent="0.45">
      <c r="A31" s="32" t="s">
        <v>198</v>
      </c>
      <c r="B31" s="107"/>
      <c r="C31" s="108"/>
      <c r="D31" s="108"/>
      <c r="E31" s="109" t="s">
        <v>199</v>
      </c>
      <c r="M31" s="109" t="s">
        <v>200</v>
      </c>
      <c r="R31" s="110" t="s">
        <v>201</v>
      </c>
      <c r="U31" s="111"/>
    </row>
    <row r="32" spans="1:43" ht="30" customHeight="1" x14ac:dyDescent="0.4">
      <c r="A32" s="112" t="s">
        <v>202</v>
      </c>
      <c r="B32" s="113" t="s">
        <v>202</v>
      </c>
      <c r="C32" s="114" t="s">
        <v>203</v>
      </c>
      <c r="D32" s="108"/>
      <c r="E32" s="115" t="s">
        <v>204</v>
      </c>
      <c r="F32" s="116" t="s">
        <v>205</v>
      </c>
      <c r="G32" s="116" t="s">
        <v>206</v>
      </c>
      <c r="H32" s="116" t="s">
        <v>207</v>
      </c>
      <c r="I32" s="116" t="s">
        <v>208</v>
      </c>
      <c r="J32" s="117" t="s">
        <v>209</v>
      </c>
      <c r="M32" s="753" t="s">
        <v>202</v>
      </c>
      <c r="N32" s="754"/>
      <c r="O32" s="116" t="s">
        <v>210</v>
      </c>
      <c r="P32" s="117" t="s">
        <v>203</v>
      </c>
      <c r="R32" s="118" t="s">
        <v>211</v>
      </c>
      <c r="S32" s="119" t="s">
        <v>569</v>
      </c>
      <c r="T32" s="119" t="s">
        <v>209</v>
      </c>
      <c r="U32" s="347" t="s">
        <v>212</v>
      </c>
      <c r="V32" s="120" t="s">
        <v>213</v>
      </c>
      <c r="W32" s="755" t="s">
        <v>214</v>
      </c>
      <c r="X32" s="756"/>
      <c r="Y32" s="756"/>
      <c r="Z32" s="757"/>
    </row>
    <row r="33" spans="1:35" ht="20.100000000000001" customHeight="1" thickBot="1" x14ac:dyDescent="0.45">
      <c r="A33" s="121" t="s">
        <v>215</v>
      </c>
      <c r="B33" s="122" t="s">
        <v>216</v>
      </c>
      <c r="C33" s="123">
        <v>36.83</v>
      </c>
      <c r="D33" s="108"/>
      <c r="E33" s="124">
        <v>198</v>
      </c>
      <c r="F33" s="125">
        <v>4000</v>
      </c>
      <c r="G33" s="125">
        <v>6</v>
      </c>
      <c r="H33" s="126">
        <v>200000</v>
      </c>
      <c r="I33" s="127">
        <f>E33*F33*G33</f>
        <v>4752000</v>
      </c>
      <c r="J33" s="128">
        <f>I33/H33</f>
        <v>23.76</v>
      </c>
      <c r="M33" s="748" t="s">
        <v>217</v>
      </c>
      <c r="N33" s="749"/>
      <c r="O33" s="125">
        <v>5000000</v>
      </c>
      <c r="P33" s="129">
        <f>O33/H33</f>
        <v>25</v>
      </c>
      <c r="R33" s="130">
        <f>Q24+C36</f>
        <v>1358.1873276876029</v>
      </c>
      <c r="S33" s="349">
        <f>C36</f>
        <v>41.83</v>
      </c>
      <c r="T33" s="131">
        <f>J33</f>
        <v>23.76</v>
      </c>
      <c r="U33" s="348">
        <f>P38</f>
        <v>92</v>
      </c>
      <c r="V33" s="132"/>
      <c r="W33" s="758">
        <f>R33+T33+U33+V33</f>
        <v>1473.9473276876029</v>
      </c>
      <c r="X33" s="759"/>
      <c r="Y33" s="759"/>
      <c r="Z33" s="760"/>
    </row>
    <row r="34" spans="1:35" ht="20.100000000000001" customHeight="1" x14ac:dyDescent="0.4">
      <c r="A34" s="133" t="s">
        <v>218</v>
      </c>
      <c r="B34" s="134" t="s">
        <v>219</v>
      </c>
      <c r="C34" s="123">
        <v>4</v>
      </c>
      <c r="D34" s="108"/>
      <c r="E34" s="772" t="s">
        <v>220</v>
      </c>
      <c r="F34" s="773"/>
      <c r="G34" s="773"/>
      <c r="H34" s="773"/>
      <c r="I34" s="773"/>
      <c r="J34" s="774"/>
      <c r="M34" s="748" t="s">
        <v>221</v>
      </c>
      <c r="N34" s="749"/>
      <c r="O34" s="125">
        <v>1800000</v>
      </c>
      <c r="P34" s="129">
        <f>O34/H33</f>
        <v>9</v>
      </c>
    </row>
    <row r="35" spans="1:35" ht="20.100000000000001" customHeight="1" x14ac:dyDescent="0.4">
      <c r="A35" s="124" t="s">
        <v>222</v>
      </c>
      <c r="B35" s="56"/>
      <c r="C35" s="123">
        <v>1</v>
      </c>
      <c r="D35" s="108"/>
      <c r="E35" s="772" t="s">
        <v>223</v>
      </c>
      <c r="F35" s="773"/>
      <c r="G35" s="773"/>
      <c r="H35" s="56" t="s">
        <v>224</v>
      </c>
      <c r="I35" s="56"/>
      <c r="J35" s="58"/>
      <c r="M35" s="748" t="s">
        <v>225</v>
      </c>
      <c r="N35" s="749"/>
      <c r="O35" s="125">
        <v>3300000</v>
      </c>
      <c r="P35" s="129">
        <f>O35/H33</f>
        <v>16.5</v>
      </c>
    </row>
    <row r="36" spans="1:35" ht="20.100000000000001" customHeight="1" thickBot="1" x14ac:dyDescent="0.45">
      <c r="A36" s="743" t="s">
        <v>226</v>
      </c>
      <c r="B36" s="744"/>
      <c r="C36" s="135">
        <f>SUM(C33:C35)</f>
        <v>41.83</v>
      </c>
      <c r="D36" s="108"/>
      <c r="E36" s="745" t="s">
        <v>227</v>
      </c>
      <c r="F36" s="746"/>
      <c r="G36" s="746"/>
      <c r="H36" s="746"/>
      <c r="I36" s="746"/>
      <c r="J36" s="747"/>
      <c r="M36" s="748" t="s">
        <v>228</v>
      </c>
      <c r="N36" s="749"/>
      <c r="O36" s="125">
        <v>3300000</v>
      </c>
      <c r="P36" s="129">
        <f>O36/H33</f>
        <v>16.5</v>
      </c>
    </row>
    <row r="37" spans="1:35" ht="20.100000000000001" customHeight="1" x14ac:dyDescent="0.4">
      <c r="C37" s="108"/>
      <c r="D37" s="108"/>
      <c r="M37" s="748" t="s">
        <v>229</v>
      </c>
      <c r="N37" s="749"/>
      <c r="O37" s="125">
        <v>5000000</v>
      </c>
      <c r="P37" s="129">
        <f>O37/H33</f>
        <v>25</v>
      </c>
    </row>
    <row r="38" spans="1:35" ht="20.100000000000001" customHeight="1" thickBot="1" x14ac:dyDescent="0.45">
      <c r="C38" s="108"/>
      <c r="D38" s="108"/>
      <c r="M38" s="770" t="s">
        <v>214</v>
      </c>
      <c r="N38" s="771"/>
      <c r="O38" s="136"/>
      <c r="P38" s="137">
        <f>SUM(P33:P37)</f>
        <v>92</v>
      </c>
    </row>
    <row r="39" spans="1:35" ht="20.100000000000001" customHeight="1" x14ac:dyDescent="0.4">
      <c r="C39" s="108"/>
      <c r="D39" s="108"/>
    </row>
    <row r="40" spans="1:35" ht="20.100000000000001" customHeight="1" x14ac:dyDescent="0.4"/>
    <row r="41" spans="1:35" ht="20.100000000000001" customHeight="1" x14ac:dyDescent="0.4"/>
    <row r="42" spans="1:35" ht="13.5" customHeight="1" x14ac:dyDescent="0.4"/>
    <row r="44" spans="1:35" ht="13.5" customHeight="1" x14ac:dyDescent="0.4"/>
    <row r="45" spans="1:35" ht="13.5" customHeight="1" x14ac:dyDescent="0.4">
      <c r="Q45" s="31">
        <v>550</v>
      </c>
    </row>
    <row r="46" spans="1:35" ht="13.5" customHeight="1" x14ac:dyDescent="0.4">
      <c r="P46" s="31">
        <v>385</v>
      </c>
      <c r="Q46" s="350">
        <f>P46/Q45</f>
        <v>0.7</v>
      </c>
    </row>
    <row r="47" spans="1:35" ht="13.5" customHeight="1" x14ac:dyDescent="0.4">
      <c r="P47" s="31">
        <v>165</v>
      </c>
    </row>
    <row r="48" spans="1:35" ht="13.5" customHeight="1" x14ac:dyDescent="0.4">
      <c r="AF48" s="107"/>
      <c r="AG48" s="107"/>
      <c r="AH48" s="107"/>
      <c r="AI48" s="107"/>
    </row>
    <row r="49" spans="31:35" ht="13.5" customHeight="1" x14ac:dyDescent="0.4">
      <c r="AF49" s="107"/>
      <c r="AG49" s="107"/>
      <c r="AH49" s="107"/>
      <c r="AI49" s="107"/>
    </row>
    <row r="50" spans="31:35" ht="14.25" customHeight="1" x14ac:dyDescent="0.4">
      <c r="AF50" s="107"/>
    </row>
    <row r="51" spans="31:35" ht="13.5" customHeight="1" x14ac:dyDescent="0.4">
      <c r="AF51" s="107"/>
    </row>
    <row r="52" spans="31:35" ht="13.5" customHeight="1" x14ac:dyDescent="0.4">
      <c r="AF52" s="107"/>
    </row>
    <row r="53" spans="31:35" ht="17.399999999999999" x14ac:dyDescent="0.4">
      <c r="AF53" s="107"/>
    </row>
    <row r="54" spans="31:35" ht="14.25" customHeight="1" x14ac:dyDescent="0.4">
      <c r="AE54" s="138"/>
      <c r="AF54" s="107"/>
    </row>
    <row r="71" spans="30:34" x14ac:dyDescent="0.4">
      <c r="AD71" s="111"/>
    </row>
    <row r="78" spans="30:34" x14ac:dyDescent="0.4">
      <c r="AH78" s="139"/>
    </row>
  </sheetData>
  <mergeCells count="21">
    <mergeCell ref="AK3:AQ3"/>
    <mergeCell ref="M37:N37"/>
    <mergeCell ref="M38:N38"/>
    <mergeCell ref="E34:J34"/>
    <mergeCell ref="M34:N34"/>
    <mergeCell ref="E35:G35"/>
    <mergeCell ref="M35:N35"/>
    <mergeCell ref="A36:B36"/>
    <mergeCell ref="E36:J36"/>
    <mergeCell ref="M36:N36"/>
    <mergeCell ref="AC3:AI3"/>
    <mergeCell ref="M32:N32"/>
    <mergeCell ref="W32:Z32"/>
    <mergeCell ref="M33:N33"/>
    <mergeCell ref="W33:Z33"/>
    <mergeCell ref="A3:A4"/>
    <mergeCell ref="B3:B4"/>
    <mergeCell ref="C3:C4"/>
    <mergeCell ref="F3:K3"/>
    <mergeCell ref="M3:S3"/>
    <mergeCell ref="U3:AA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2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T179"/>
  <sheetViews>
    <sheetView showGridLines="0" zoomScaleNormal="100" workbookViewId="0">
      <selection activeCell="H5" sqref="H5"/>
    </sheetView>
  </sheetViews>
  <sheetFormatPr defaultRowHeight="17.399999999999999" x14ac:dyDescent="0.4"/>
  <cols>
    <col min="10" max="10" width="13" customWidth="1"/>
  </cols>
  <sheetData>
    <row r="3" spans="1:20" ht="30" x14ac:dyDescent="0.4">
      <c r="A3" s="26" t="s">
        <v>94</v>
      </c>
      <c r="K3" s="26" t="s">
        <v>144</v>
      </c>
    </row>
    <row r="5" spans="1:20" ht="21" x14ac:dyDescent="0.4">
      <c r="A5" s="21" t="s">
        <v>145</v>
      </c>
      <c r="K5" s="24" t="s">
        <v>146</v>
      </c>
    </row>
    <row r="6" spans="1:20" x14ac:dyDescent="0.4">
      <c r="A6" s="11" t="s">
        <v>76</v>
      </c>
      <c r="K6" s="5" t="s">
        <v>152</v>
      </c>
      <c r="L6" s="5"/>
      <c r="M6" s="5"/>
      <c r="N6" s="5"/>
      <c r="O6" s="5"/>
      <c r="P6" s="5"/>
      <c r="Q6" s="5"/>
      <c r="R6" s="5"/>
      <c r="S6" s="5"/>
      <c r="T6" s="5"/>
    </row>
    <row r="7" spans="1:20" x14ac:dyDescent="0.4">
      <c r="A7" s="11" t="s">
        <v>77</v>
      </c>
      <c r="K7" s="5" t="s">
        <v>153</v>
      </c>
      <c r="L7" s="5"/>
      <c r="M7" s="5"/>
      <c r="N7" s="5"/>
      <c r="O7" s="5"/>
      <c r="P7" s="5"/>
      <c r="Q7" s="5"/>
      <c r="R7" s="5"/>
      <c r="S7" s="5"/>
      <c r="T7" s="5"/>
    </row>
    <row r="8" spans="1:20" x14ac:dyDescent="0.4"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 ht="19.2" x14ac:dyDescent="0.4">
      <c r="A9" s="19" t="s">
        <v>149</v>
      </c>
      <c r="K9" s="20" t="s">
        <v>147</v>
      </c>
      <c r="L9" s="5"/>
      <c r="M9" s="5"/>
      <c r="N9" s="5"/>
      <c r="O9" s="5"/>
      <c r="P9" s="5"/>
      <c r="Q9" s="5"/>
      <c r="R9" s="5"/>
      <c r="S9" s="5"/>
      <c r="T9" s="5"/>
    </row>
    <row r="10" spans="1:20" x14ac:dyDescent="0.4">
      <c r="A10" s="5" t="s">
        <v>148</v>
      </c>
      <c r="K10" t="s">
        <v>159</v>
      </c>
      <c r="L10" s="30"/>
      <c r="M10" s="30"/>
      <c r="N10" s="30"/>
      <c r="O10" s="30"/>
      <c r="P10" s="30"/>
      <c r="Q10" s="30"/>
      <c r="R10" s="30"/>
      <c r="S10" s="30"/>
      <c r="T10" s="30"/>
    </row>
    <row r="11" spans="1:20" x14ac:dyDescent="0.4">
      <c r="A11" s="5"/>
      <c r="T11" s="30"/>
    </row>
    <row r="12" spans="1:20" x14ac:dyDescent="0.4">
      <c r="A12" s="11" t="s">
        <v>79</v>
      </c>
      <c r="K12" t="s">
        <v>155</v>
      </c>
      <c r="T12" s="30"/>
    </row>
    <row r="13" spans="1:20" x14ac:dyDescent="0.4">
      <c r="A13" s="11" t="s">
        <v>81</v>
      </c>
      <c r="T13" s="30"/>
    </row>
    <row r="14" spans="1:20" x14ac:dyDescent="0.4">
      <c r="A14" s="11" t="s">
        <v>80</v>
      </c>
      <c r="K14" s="1" t="s">
        <v>156</v>
      </c>
      <c r="T14" s="30"/>
    </row>
    <row r="15" spans="1:20" x14ac:dyDescent="0.4">
      <c r="A15" s="11" t="s">
        <v>82</v>
      </c>
      <c r="K15" t="s">
        <v>157</v>
      </c>
      <c r="T15" s="30"/>
    </row>
    <row r="16" spans="1:20" x14ac:dyDescent="0.4">
      <c r="T16" s="30"/>
    </row>
    <row r="17" spans="1:20" ht="19.2" x14ac:dyDescent="0.4">
      <c r="A17" s="20" t="s">
        <v>95</v>
      </c>
      <c r="K17" t="s">
        <v>158</v>
      </c>
      <c r="T17" s="30"/>
    </row>
    <row r="18" spans="1:20" x14ac:dyDescent="0.4">
      <c r="A18" s="11" t="s">
        <v>83</v>
      </c>
      <c r="K18" t="s">
        <v>151</v>
      </c>
      <c r="T18" s="30"/>
    </row>
    <row r="19" spans="1:20" x14ac:dyDescent="0.4">
      <c r="A19" s="11"/>
      <c r="T19" s="30"/>
    </row>
    <row r="20" spans="1:20" ht="19.2" x14ac:dyDescent="0.4">
      <c r="A20" s="11" t="s">
        <v>84</v>
      </c>
      <c r="K20" s="29" t="s">
        <v>154</v>
      </c>
      <c r="L20" s="5"/>
      <c r="M20" s="5"/>
      <c r="N20" s="5"/>
      <c r="O20" s="5"/>
      <c r="P20" s="5"/>
      <c r="Q20" s="5"/>
      <c r="R20" s="5"/>
      <c r="S20" s="5"/>
      <c r="T20" s="5"/>
    </row>
    <row r="21" spans="1:20" x14ac:dyDescent="0.4">
      <c r="C21" s="5" t="s">
        <v>85</v>
      </c>
      <c r="K21" t="s">
        <v>161</v>
      </c>
    </row>
    <row r="22" spans="1:20" x14ac:dyDescent="0.4">
      <c r="C22" s="5"/>
      <c r="K22" t="s">
        <v>162</v>
      </c>
    </row>
    <row r="23" spans="1:20" x14ac:dyDescent="0.4">
      <c r="A23" s="19" t="s">
        <v>86</v>
      </c>
    </row>
    <row r="24" spans="1:20" x14ac:dyDescent="0.4">
      <c r="A24" s="11" t="s">
        <v>87</v>
      </c>
      <c r="C24" s="1"/>
      <c r="K24" t="s">
        <v>160</v>
      </c>
    </row>
    <row r="25" spans="1:20" x14ac:dyDescent="0.4">
      <c r="A25" s="11"/>
      <c r="C25" s="1"/>
      <c r="K25" t="s">
        <v>150</v>
      </c>
    </row>
    <row r="26" spans="1:20" x14ac:dyDescent="0.4">
      <c r="A26" s="11" t="s">
        <v>166</v>
      </c>
    </row>
    <row r="27" spans="1:20" ht="19.2" x14ac:dyDescent="0.4">
      <c r="B27" s="5" t="s">
        <v>165</v>
      </c>
      <c r="K27" t="s">
        <v>163</v>
      </c>
    </row>
    <row r="28" spans="1:20" x14ac:dyDescent="0.4">
      <c r="K28" t="s">
        <v>164</v>
      </c>
    </row>
    <row r="29" spans="1:20" ht="19.2" x14ac:dyDescent="0.4">
      <c r="A29" s="20" t="s">
        <v>88</v>
      </c>
    </row>
    <row r="30" spans="1:20" x14ac:dyDescent="0.4">
      <c r="A30" s="5" t="s">
        <v>90</v>
      </c>
    </row>
    <row r="31" spans="1:20" x14ac:dyDescent="0.4">
      <c r="B31" s="5" t="s">
        <v>89</v>
      </c>
    </row>
    <row r="32" spans="1:20" x14ac:dyDescent="0.4">
      <c r="A32" s="10" t="s">
        <v>91</v>
      </c>
    </row>
    <row r="33" spans="1:11" x14ac:dyDescent="0.4">
      <c r="C33" s="5" t="s">
        <v>92</v>
      </c>
    </row>
    <row r="34" spans="1:11" x14ac:dyDescent="0.4">
      <c r="A34" s="11" t="s">
        <v>93</v>
      </c>
    </row>
    <row r="35" spans="1:11" x14ac:dyDescent="0.4">
      <c r="A35" s="11"/>
      <c r="K35" s="5"/>
    </row>
    <row r="36" spans="1:11" x14ac:dyDescent="0.4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 ht="21" x14ac:dyDescent="0.4">
      <c r="A37" s="21" t="s">
        <v>96</v>
      </c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x14ac:dyDescent="0.4">
      <c r="A38" t="s">
        <v>26</v>
      </c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x14ac:dyDescent="0.4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x14ac:dyDescent="0.4">
      <c r="A40" s="4" t="s">
        <v>15</v>
      </c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x14ac:dyDescent="0.4">
      <c r="A41" s="12" t="s">
        <v>18</v>
      </c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 x14ac:dyDescent="0.4">
      <c r="A42" s="10" t="s">
        <v>29</v>
      </c>
      <c r="B42" s="13"/>
      <c r="C42" s="13"/>
      <c r="D42" s="13"/>
      <c r="E42" s="13"/>
      <c r="F42" s="13"/>
      <c r="G42" s="13"/>
      <c r="H42" s="5"/>
      <c r="I42" s="5"/>
      <c r="J42" s="5"/>
      <c r="K42" s="5"/>
    </row>
    <row r="43" spans="1:11" x14ac:dyDescent="0.4">
      <c r="A43" s="10" t="s">
        <v>28</v>
      </c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x14ac:dyDescent="0.4">
      <c r="A44" s="10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ht="19.2" x14ac:dyDescent="0.4">
      <c r="A45" s="20" t="s">
        <v>67</v>
      </c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 x14ac:dyDescent="0.4">
      <c r="A46" s="10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1" x14ac:dyDescent="0.4">
      <c r="A47" s="4" t="s">
        <v>23</v>
      </c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 x14ac:dyDescent="0.4">
      <c r="A48" s="14" t="s">
        <v>19</v>
      </c>
      <c r="B48" s="5"/>
      <c r="C48" s="5"/>
      <c r="D48" s="5"/>
      <c r="E48" s="5"/>
      <c r="F48" s="5"/>
      <c r="G48" s="5"/>
      <c r="H48" s="5"/>
      <c r="I48" s="5"/>
      <c r="J48" s="5"/>
      <c r="K48" s="5"/>
    </row>
    <row r="49" spans="1:11" x14ac:dyDescent="0.4">
      <c r="A49" s="12" t="s">
        <v>20</v>
      </c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1:11" x14ac:dyDescent="0.4">
      <c r="A50" s="12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spans="1:11" x14ac:dyDescent="0.4">
      <c r="A51" s="17" t="s">
        <v>55</v>
      </c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1:11" x14ac:dyDescent="0.4">
      <c r="A52" s="14" t="s">
        <v>17</v>
      </c>
      <c r="B52" s="5"/>
      <c r="C52" s="5"/>
      <c r="D52" s="5"/>
      <c r="E52" s="5"/>
      <c r="F52" s="5"/>
      <c r="G52" s="5"/>
      <c r="H52" s="5"/>
      <c r="I52" s="5"/>
      <c r="J52" s="5"/>
      <c r="K52" s="5"/>
    </row>
    <row r="53" spans="1:11" x14ac:dyDescent="0.4">
      <c r="A53" s="5" t="s">
        <v>16</v>
      </c>
      <c r="B53" s="5"/>
      <c r="C53" s="5"/>
      <c r="D53" s="5"/>
      <c r="E53" s="5"/>
      <c r="F53" s="5"/>
      <c r="G53" s="5"/>
      <c r="H53" s="5"/>
      <c r="I53" s="5"/>
      <c r="J53" s="5"/>
    </row>
    <row r="54" spans="1:11" x14ac:dyDescent="0.4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1" x14ac:dyDescent="0.4">
      <c r="A55" s="4" t="s">
        <v>24</v>
      </c>
      <c r="B55" s="5"/>
      <c r="C55" s="5"/>
      <c r="D55" s="5"/>
      <c r="E55" s="5"/>
      <c r="F55" s="5"/>
      <c r="G55" s="5"/>
      <c r="H55" s="5"/>
      <c r="I55" s="5"/>
      <c r="J55" s="5"/>
    </row>
    <row r="56" spans="1:11" x14ac:dyDescent="0.4">
      <c r="A56" s="5" t="s">
        <v>30</v>
      </c>
      <c r="B56" s="5"/>
      <c r="C56" s="5"/>
      <c r="D56" s="5"/>
      <c r="E56" s="5"/>
      <c r="F56" s="5"/>
      <c r="G56" s="5"/>
      <c r="H56" s="5"/>
      <c r="I56" s="5"/>
      <c r="J56" s="5"/>
    </row>
    <row r="57" spans="1:11" x14ac:dyDescent="0.4">
      <c r="A57" s="5" t="s">
        <v>31</v>
      </c>
      <c r="B57" s="5"/>
      <c r="C57" s="5"/>
      <c r="D57" s="5"/>
      <c r="E57" s="5"/>
      <c r="F57" s="5"/>
      <c r="G57" s="5"/>
      <c r="H57" s="5"/>
      <c r="I57" s="5"/>
      <c r="J57" s="5"/>
    </row>
    <row r="58" spans="1:11" x14ac:dyDescent="0.4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1" x14ac:dyDescent="0.4">
      <c r="A59" s="4" t="s">
        <v>25</v>
      </c>
      <c r="B59" s="5"/>
      <c r="C59" s="5"/>
      <c r="D59" s="5"/>
      <c r="E59" s="5"/>
      <c r="F59" s="5"/>
      <c r="G59" s="5"/>
      <c r="H59" s="5"/>
      <c r="I59" s="5"/>
      <c r="J59" s="5"/>
    </row>
    <row r="60" spans="1:11" x14ac:dyDescent="0.4">
      <c r="A60" s="5" t="s">
        <v>32</v>
      </c>
      <c r="B60" s="5"/>
      <c r="C60" s="5"/>
      <c r="D60" s="5"/>
      <c r="E60" s="5"/>
      <c r="F60" s="5"/>
      <c r="G60" s="5"/>
      <c r="H60" s="5"/>
      <c r="I60" s="5"/>
      <c r="J60" s="5"/>
    </row>
    <row r="61" spans="1:11" x14ac:dyDescent="0.4">
      <c r="A61" s="5" t="s">
        <v>33</v>
      </c>
      <c r="B61" s="5"/>
      <c r="C61" s="5"/>
      <c r="D61" s="5"/>
      <c r="E61" s="5"/>
      <c r="F61" s="5"/>
      <c r="G61" s="5"/>
      <c r="H61" s="5"/>
      <c r="I61" s="5"/>
      <c r="J61" s="5"/>
    </row>
    <row r="62" spans="1:11" x14ac:dyDescent="0.4">
      <c r="A62" s="5" t="s">
        <v>21</v>
      </c>
      <c r="B62" s="5"/>
      <c r="C62" s="5"/>
      <c r="D62" s="5"/>
      <c r="E62" s="5"/>
      <c r="F62" s="5"/>
      <c r="G62" s="5"/>
      <c r="H62" s="5"/>
      <c r="I62" s="5"/>
      <c r="J62" s="5"/>
    </row>
    <row r="63" spans="1:11" x14ac:dyDescent="0.4">
      <c r="A63" s="15" t="s">
        <v>22</v>
      </c>
      <c r="B63" s="5"/>
      <c r="C63" s="5"/>
      <c r="D63" s="5"/>
      <c r="E63" s="5"/>
      <c r="F63" s="5"/>
      <c r="G63" s="5"/>
      <c r="H63" s="5"/>
      <c r="I63" s="5"/>
      <c r="J63" s="5"/>
    </row>
    <row r="64" spans="1:11" x14ac:dyDescent="0.4">
      <c r="A64" s="5" t="s">
        <v>34</v>
      </c>
      <c r="B64" s="5"/>
      <c r="C64" s="5"/>
      <c r="D64" s="5"/>
      <c r="E64" s="5"/>
      <c r="F64" s="5"/>
      <c r="G64" s="5"/>
      <c r="H64" s="5"/>
      <c r="I64" s="5"/>
      <c r="J64" s="5"/>
    </row>
    <row r="65" spans="1:10" x14ac:dyDescent="0.4">
      <c r="A65" s="5" t="s">
        <v>35</v>
      </c>
      <c r="B65" s="5"/>
      <c r="C65" s="5"/>
      <c r="D65" s="5"/>
      <c r="E65" s="5"/>
      <c r="F65" s="5"/>
      <c r="G65" s="5"/>
      <c r="H65" s="5"/>
      <c r="I65" s="5"/>
      <c r="J65" s="5"/>
    </row>
    <row r="66" spans="1:10" x14ac:dyDescent="0.4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19.2" x14ac:dyDescent="0.4">
      <c r="A67" s="20" t="s">
        <v>27</v>
      </c>
      <c r="B67" s="5"/>
      <c r="C67" s="5"/>
      <c r="D67" s="5"/>
      <c r="E67" s="5"/>
      <c r="F67" s="5"/>
      <c r="G67" s="5"/>
      <c r="H67" s="5"/>
      <c r="I67" s="5"/>
      <c r="J67" s="5"/>
    </row>
    <row r="68" spans="1:10" x14ac:dyDescent="0.4">
      <c r="A68" s="6"/>
      <c r="B68" s="5"/>
      <c r="C68" s="5"/>
      <c r="D68" s="5"/>
      <c r="E68" s="5"/>
      <c r="F68" s="5"/>
      <c r="G68" s="5"/>
      <c r="H68" s="5"/>
      <c r="I68" s="5"/>
      <c r="J68" s="5"/>
    </row>
    <row r="69" spans="1:10" x14ac:dyDescent="0.4">
      <c r="A69" s="7" t="s">
        <v>8</v>
      </c>
      <c r="B69" s="5"/>
      <c r="C69" s="5"/>
      <c r="D69" s="5"/>
      <c r="E69" s="5"/>
      <c r="F69" s="5"/>
      <c r="G69" s="5"/>
      <c r="H69" s="5"/>
      <c r="I69" s="5"/>
      <c r="J69" s="5"/>
    </row>
    <row r="70" spans="1:10" x14ac:dyDescent="0.4">
      <c r="A70" s="6"/>
      <c r="B70" s="5"/>
      <c r="C70" s="5"/>
      <c r="D70" s="5"/>
      <c r="E70" s="5"/>
      <c r="F70" s="5"/>
      <c r="G70" s="5"/>
      <c r="H70" s="5"/>
      <c r="I70" s="5"/>
      <c r="J70" s="5"/>
    </row>
    <row r="71" spans="1:10" x14ac:dyDescent="0.4">
      <c r="A71" s="7" t="s">
        <v>4</v>
      </c>
      <c r="B71" s="5"/>
      <c r="C71" s="5"/>
      <c r="D71" s="5"/>
      <c r="E71" s="5"/>
      <c r="F71" s="5"/>
      <c r="G71" s="5"/>
      <c r="H71" s="5"/>
      <c r="I71" s="5"/>
      <c r="J71" s="5"/>
    </row>
    <row r="72" spans="1:10" x14ac:dyDescent="0.4">
      <c r="A72" s="8" t="s">
        <v>10</v>
      </c>
      <c r="B72" s="5"/>
      <c r="C72" s="5"/>
      <c r="D72" s="5"/>
      <c r="E72" s="5"/>
      <c r="F72" s="5"/>
      <c r="G72" s="5"/>
      <c r="H72" s="5"/>
      <c r="I72" s="5"/>
      <c r="J72" s="5"/>
    </row>
    <row r="73" spans="1:10" x14ac:dyDescent="0.4">
      <c r="A73" s="8" t="s">
        <v>9</v>
      </c>
      <c r="B73" s="5"/>
      <c r="C73" s="5"/>
      <c r="D73" s="5"/>
      <c r="E73" s="5"/>
      <c r="F73" s="5"/>
      <c r="G73" s="5"/>
      <c r="H73" s="5"/>
      <c r="I73" s="5"/>
      <c r="J73" s="5"/>
    </row>
    <row r="74" spans="1:10" x14ac:dyDescent="0.4">
      <c r="A74" s="8"/>
      <c r="B74" s="5"/>
      <c r="C74" s="5"/>
      <c r="D74" s="5"/>
      <c r="E74" s="5"/>
      <c r="F74" s="5"/>
      <c r="G74" s="5"/>
      <c r="H74" s="5"/>
      <c r="I74" s="5"/>
      <c r="J74" s="5"/>
    </row>
    <row r="75" spans="1:10" x14ac:dyDescent="0.4">
      <c r="A75" s="7" t="s">
        <v>5</v>
      </c>
      <c r="B75" s="5"/>
      <c r="C75" s="5"/>
      <c r="D75" s="5"/>
      <c r="E75" s="5"/>
      <c r="F75" s="5"/>
      <c r="G75" s="5"/>
      <c r="H75" s="5"/>
      <c r="I75" s="5"/>
      <c r="J75" s="5"/>
    </row>
    <row r="76" spans="1:10" x14ac:dyDescent="0.4">
      <c r="A76" s="8" t="s">
        <v>6</v>
      </c>
      <c r="B76" s="5"/>
      <c r="C76" s="5"/>
      <c r="D76" s="5"/>
      <c r="E76" s="5"/>
      <c r="F76" s="5"/>
      <c r="G76" s="5"/>
      <c r="H76" s="5"/>
      <c r="I76" s="5"/>
      <c r="J76" s="5"/>
    </row>
    <row r="77" spans="1:10" x14ac:dyDescent="0.4">
      <c r="A77" s="8" t="s">
        <v>7</v>
      </c>
      <c r="B77" s="5"/>
      <c r="C77" s="5"/>
      <c r="D77" s="5"/>
      <c r="E77" s="5"/>
      <c r="F77" s="5"/>
      <c r="G77" s="5"/>
      <c r="H77" s="5"/>
      <c r="I77" s="5"/>
      <c r="J77" s="5"/>
    </row>
    <row r="78" spans="1:10" x14ac:dyDescent="0.4">
      <c r="A78" s="8" t="s">
        <v>11</v>
      </c>
      <c r="B78" s="5"/>
      <c r="C78" s="5"/>
      <c r="D78" s="5"/>
      <c r="E78" s="5"/>
      <c r="F78" s="5"/>
      <c r="G78" s="5"/>
      <c r="H78" s="5"/>
      <c r="I78" s="5"/>
      <c r="J78" s="5"/>
    </row>
    <row r="79" spans="1:10" x14ac:dyDescent="0.4">
      <c r="A79" s="8"/>
      <c r="B79" s="5"/>
      <c r="C79" s="5"/>
      <c r="D79" s="5"/>
      <c r="E79" s="5"/>
      <c r="F79" s="5"/>
      <c r="G79" s="5"/>
      <c r="H79" s="5"/>
      <c r="I79" s="5"/>
      <c r="J79" s="5"/>
    </row>
    <row r="80" spans="1:10" ht="21" x14ac:dyDescent="0.4">
      <c r="A80" s="16"/>
      <c r="B80" s="5"/>
      <c r="C80" s="5"/>
      <c r="D80" s="5"/>
      <c r="E80" s="5"/>
      <c r="F80" s="5"/>
      <c r="G80" s="5"/>
      <c r="H80" s="5"/>
      <c r="I80" s="5"/>
      <c r="J80" s="5"/>
    </row>
    <row r="81" spans="1:10" x14ac:dyDescent="0.4">
      <c r="A81" s="6"/>
      <c r="B81" s="5"/>
      <c r="C81" s="5"/>
      <c r="D81" s="5"/>
      <c r="E81" s="5"/>
      <c r="F81" s="5"/>
      <c r="G81" s="5"/>
      <c r="H81" s="5"/>
      <c r="I81" s="5"/>
      <c r="J81" s="5"/>
    </row>
    <row r="82" spans="1:10" ht="21" x14ac:dyDescent="0.4">
      <c r="A82" s="22" t="s">
        <v>97</v>
      </c>
      <c r="B82" s="5"/>
      <c r="C82" s="5"/>
      <c r="D82" s="5"/>
      <c r="E82" s="5"/>
      <c r="F82" s="5"/>
      <c r="G82" s="5"/>
      <c r="H82" s="5"/>
      <c r="I82" s="5"/>
      <c r="J82" s="5"/>
    </row>
    <row r="83" spans="1:10" x14ac:dyDescent="0.4">
      <c r="A83" s="18" t="s">
        <v>13</v>
      </c>
    </row>
    <row r="84" spans="1:10" x14ac:dyDescent="0.4">
      <c r="A84" s="18" t="s">
        <v>12</v>
      </c>
    </row>
    <row r="85" spans="1:10" x14ac:dyDescent="0.4">
      <c r="A85" s="10"/>
    </row>
    <row r="86" spans="1:10" ht="19.2" x14ac:dyDescent="0.4">
      <c r="A86" s="20" t="s">
        <v>98</v>
      </c>
    </row>
    <row r="87" spans="1:10" x14ac:dyDescent="0.4">
      <c r="A87" s="7" t="s">
        <v>36</v>
      </c>
    </row>
    <row r="88" spans="1:10" x14ac:dyDescent="0.4">
      <c r="A88" s="6" t="s">
        <v>37</v>
      </c>
    </row>
    <row r="89" spans="1:10" x14ac:dyDescent="0.4">
      <c r="A89" s="6"/>
    </row>
    <row r="90" spans="1:10" x14ac:dyDescent="0.4">
      <c r="A90" s="7" t="s">
        <v>38</v>
      </c>
    </row>
    <row r="91" spans="1:10" x14ac:dyDescent="0.4">
      <c r="A91" s="5" t="s">
        <v>39</v>
      </c>
    </row>
    <row r="92" spans="1:10" x14ac:dyDescent="0.4">
      <c r="A92" s="5"/>
    </row>
    <row r="93" spans="1:10" x14ac:dyDescent="0.4">
      <c r="A93" s="7" t="s">
        <v>14</v>
      </c>
    </row>
    <row r="94" spans="1:10" x14ac:dyDescent="0.4">
      <c r="A94" s="11"/>
    </row>
    <row r="95" spans="1:10" ht="19.2" x14ac:dyDescent="0.4">
      <c r="A95" s="20" t="s">
        <v>99</v>
      </c>
    </row>
    <row r="97" spans="1:1" x14ac:dyDescent="0.4">
      <c r="A97" s="10" t="s">
        <v>41</v>
      </c>
    </row>
    <row r="98" spans="1:1" x14ac:dyDescent="0.4">
      <c r="A98" s="11" t="s">
        <v>40</v>
      </c>
    </row>
    <row r="99" spans="1:1" x14ac:dyDescent="0.4">
      <c r="A99" s="10" t="s">
        <v>42</v>
      </c>
    </row>
    <row r="101" spans="1:1" ht="21" x14ac:dyDescent="0.4">
      <c r="A101" s="21" t="s">
        <v>101</v>
      </c>
    </row>
    <row r="102" spans="1:1" x14ac:dyDescent="0.4">
      <c r="A102" s="5" t="s">
        <v>50</v>
      </c>
    </row>
    <row r="103" spans="1:1" x14ac:dyDescent="0.4">
      <c r="A103" s="5" t="s">
        <v>51</v>
      </c>
    </row>
    <row r="104" spans="1:1" x14ac:dyDescent="0.4">
      <c r="A104" s="5"/>
    </row>
    <row r="105" spans="1:1" ht="19.2" x14ac:dyDescent="0.4">
      <c r="A105" s="20" t="s">
        <v>100</v>
      </c>
    </row>
    <row r="106" spans="1:1" x14ac:dyDescent="0.4">
      <c r="A106" s="10" t="s">
        <v>63</v>
      </c>
    </row>
    <row r="107" spans="1:1" x14ac:dyDescent="0.4">
      <c r="A107" s="5" t="s">
        <v>64</v>
      </c>
    </row>
    <row r="108" spans="1:1" x14ac:dyDescent="0.4">
      <c r="A108" s="5" t="s">
        <v>65</v>
      </c>
    </row>
    <row r="109" spans="1:1" x14ac:dyDescent="0.4">
      <c r="A109" s="5" t="s">
        <v>66</v>
      </c>
    </row>
    <row r="110" spans="1:1" x14ac:dyDescent="0.4">
      <c r="A110" s="5"/>
    </row>
    <row r="111" spans="1:1" x14ac:dyDescent="0.4">
      <c r="A111" s="5"/>
    </row>
    <row r="112" spans="1:1" x14ac:dyDescent="0.4">
      <c r="A112" s="5"/>
    </row>
    <row r="113" spans="1:1" ht="19.2" x14ac:dyDescent="0.4">
      <c r="A113" s="9" t="s">
        <v>69</v>
      </c>
    </row>
    <row r="114" spans="1:1" x14ac:dyDescent="0.4">
      <c r="A114" s="5" t="s">
        <v>43</v>
      </c>
    </row>
    <row r="115" spans="1:1" x14ac:dyDescent="0.4">
      <c r="A115" s="5"/>
    </row>
    <row r="116" spans="1:1" x14ac:dyDescent="0.4">
      <c r="A116" s="4" t="s">
        <v>68</v>
      </c>
    </row>
    <row r="117" spans="1:1" x14ac:dyDescent="0.4">
      <c r="A117" s="11" t="s">
        <v>48</v>
      </c>
    </row>
    <row r="118" spans="1:1" x14ac:dyDescent="0.4">
      <c r="A118" s="5" t="s">
        <v>49</v>
      </c>
    </row>
    <row r="119" spans="1:1" x14ac:dyDescent="0.4">
      <c r="A119" s="5"/>
    </row>
    <row r="120" spans="1:1" ht="19.2" x14ac:dyDescent="0.4">
      <c r="A120" s="9" t="s">
        <v>70</v>
      </c>
    </row>
    <row r="121" spans="1:1" x14ac:dyDescent="0.4">
      <c r="A121" s="5" t="s">
        <v>44</v>
      </c>
    </row>
    <row r="122" spans="1:1" x14ac:dyDescent="0.4">
      <c r="A122" s="5"/>
    </row>
    <row r="123" spans="1:1" x14ac:dyDescent="0.4">
      <c r="A123" s="4" t="s">
        <v>52</v>
      </c>
    </row>
    <row r="124" spans="1:1" x14ac:dyDescent="0.4">
      <c r="A124" s="10" t="s">
        <v>45</v>
      </c>
    </row>
    <row r="126" spans="1:1" x14ac:dyDescent="0.4">
      <c r="A126" s="11" t="s">
        <v>46</v>
      </c>
    </row>
    <row r="127" spans="1:1" x14ac:dyDescent="0.4">
      <c r="A127" s="11"/>
    </row>
    <row r="128" spans="1:1" x14ac:dyDescent="0.4">
      <c r="A128" s="1" t="s">
        <v>47</v>
      </c>
    </row>
    <row r="130" spans="1:1" ht="21" x14ac:dyDescent="0.4">
      <c r="A130" s="19" t="s">
        <v>78</v>
      </c>
    </row>
    <row r="131" spans="1:1" x14ac:dyDescent="0.4">
      <c r="A131" s="4" t="s">
        <v>54</v>
      </c>
    </row>
    <row r="132" spans="1:1" x14ac:dyDescent="0.4">
      <c r="A132" s="5" t="s">
        <v>53</v>
      </c>
    </row>
    <row r="134" spans="1:1" x14ac:dyDescent="0.4">
      <c r="A134" s="4" t="s">
        <v>56</v>
      </c>
    </row>
    <row r="135" spans="1:1" x14ac:dyDescent="0.4">
      <c r="A135" s="11" t="s">
        <v>57</v>
      </c>
    </row>
    <row r="137" spans="1:1" x14ac:dyDescent="0.4">
      <c r="A137" s="4" t="s">
        <v>58</v>
      </c>
    </row>
    <row r="138" spans="1:1" x14ac:dyDescent="0.4">
      <c r="A138" s="5" t="s">
        <v>59</v>
      </c>
    </row>
    <row r="140" spans="1:1" x14ac:dyDescent="0.4">
      <c r="A140" s="4" t="s">
        <v>60</v>
      </c>
    </row>
    <row r="141" spans="1:1" x14ac:dyDescent="0.4">
      <c r="A141" s="5" t="s">
        <v>62</v>
      </c>
    </row>
    <row r="142" spans="1:1" x14ac:dyDescent="0.4">
      <c r="A142" s="11" t="s">
        <v>61</v>
      </c>
    </row>
    <row r="143" spans="1:1" x14ac:dyDescent="0.4">
      <c r="A143" s="11" t="s">
        <v>71</v>
      </c>
    </row>
    <row r="144" spans="1:1" x14ac:dyDescent="0.4">
      <c r="A144" s="11" t="s">
        <v>73</v>
      </c>
    </row>
    <row r="145" spans="1:1" x14ac:dyDescent="0.4">
      <c r="A145" s="11" t="s">
        <v>72</v>
      </c>
    </row>
    <row r="146" spans="1:1" x14ac:dyDescent="0.4">
      <c r="A146" s="11" t="s">
        <v>74</v>
      </c>
    </row>
    <row r="147" spans="1:1" x14ac:dyDescent="0.4">
      <c r="A147" s="11" t="s">
        <v>75</v>
      </c>
    </row>
    <row r="148" spans="1:1" x14ac:dyDescent="0.4">
      <c r="A148" s="11" t="s">
        <v>102</v>
      </c>
    </row>
    <row r="149" spans="1:1" x14ac:dyDescent="0.4">
      <c r="A149" s="11"/>
    </row>
    <row r="150" spans="1:1" ht="21" x14ac:dyDescent="0.4">
      <c r="A150" s="21"/>
    </row>
    <row r="151" spans="1:1" x14ac:dyDescent="0.4">
      <c r="A151" s="11"/>
    </row>
    <row r="152" spans="1:1" x14ac:dyDescent="0.4">
      <c r="A152" s="11"/>
    </row>
    <row r="154" spans="1:1" x14ac:dyDescent="0.4">
      <c r="A154" s="19"/>
    </row>
    <row r="155" spans="1:1" x14ac:dyDescent="0.4">
      <c r="A155" s="5"/>
    </row>
    <row r="156" spans="1:1" x14ac:dyDescent="0.4">
      <c r="A156" s="5"/>
    </row>
    <row r="157" spans="1:1" x14ac:dyDescent="0.4">
      <c r="A157" s="11"/>
    </row>
    <row r="158" spans="1:1" x14ac:dyDescent="0.4">
      <c r="A158" s="11"/>
    </row>
    <row r="159" spans="1:1" x14ac:dyDescent="0.4">
      <c r="A159" s="11"/>
    </row>
    <row r="160" spans="1:1" x14ac:dyDescent="0.4">
      <c r="A160" s="11"/>
    </row>
    <row r="162" spans="1:3" ht="19.2" x14ac:dyDescent="0.4">
      <c r="A162" s="20"/>
    </row>
    <row r="163" spans="1:3" x14ac:dyDescent="0.4">
      <c r="A163" s="11"/>
    </row>
    <row r="164" spans="1:3" x14ac:dyDescent="0.4">
      <c r="A164" s="11"/>
    </row>
    <row r="165" spans="1:3" x14ac:dyDescent="0.4">
      <c r="A165" s="11"/>
    </row>
    <row r="166" spans="1:3" x14ac:dyDescent="0.4">
      <c r="C166" s="5"/>
    </row>
    <row r="167" spans="1:3" x14ac:dyDescent="0.4">
      <c r="C167" s="5"/>
    </row>
    <row r="168" spans="1:3" x14ac:dyDescent="0.4">
      <c r="A168" s="19"/>
    </row>
    <row r="169" spans="1:3" x14ac:dyDescent="0.4">
      <c r="A169" s="11"/>
      <c r="C169" s="1"/>
    </row>
    <row r="170" spans="1:3" x14ac:dyDescent="0.4">
      <c r="A170" s="11"/>
      <c r="C170" s="1"/>
    </row>
    <row r="171" spans="1:3" x14ac:dyDescent="0.4">
      <c r="A171" s="11"/>
    </row>
    <row r="172" spans="1:3" x14ac:dyDescent="0.4">
      <c r="B172" s="5"/>
    </row>
    <row r="174" spans="1:3" ht="19.2" x14ac:dyDescent="0.4">
      <c r="A174" s="20"/>
    </row>
    <row r="175" spans="1:3" x14ac:dyDescent="0.4">
      <c r="A175" s="5"/>
    </row>
    <row r="176" spans="1:3" x14ac:dyDescent="0.4">
      <c r="B176" s="5"/>
    </row>
    <row r="177" spans="1:3" x14ac:dyDescent="0.4">
      <c r="A177" s="10"/>
    </row>
    <row r="178" spans="1:3" x14ac:dyDescent="0.4">
      <c r="C178" s="5"/>
    </row>
    <row r="179" spans="1:3" x14ac:dyDescent="0.4">
      <c r="A179" s="11"/>
    </row>
  </sheetData>
  <phoneticPr fontId="2" type="noConversion"/>
  <pageMargins left="0.19685039370078741" right="0.19685039370078741" top="0.74803149606299213" bottom="0.15748031496062992" header="0.31496062992125984" footer="0.31496062992125984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11"/>
  <sheetViews>
    <sheetView showGridLines="0" tabSelected="1" topLeftCell="A71" zoomScaleNormal="100" workbookViewId="0">
      <selection activeCell="H5" sqref="H5"/>
    </sheetView>
  </sheetViews>
  <sheetFormatPr defaultRowHeight="17.399999999999999" x14ac:dyDescent="0.4"/>
  <sheetData>
    <row r="1" spans="1:18" x14ac:dyDescent="0.4">
      <c r="A1" s="271"/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</row>
    <row r="2" spans="1:18" ht="21" x14ac:dyDescent="0.4">
      <c r="A2" s="272" t="s">
        <v>552</v>
      </c>
      <c r="B2" s="271"/>
      <c r="C2" s="271"/>
      <c r="D2" s="271"/>
      <c r="E2" s="271"/>
      <c r="F2" s="271"/>
      <c r="G2" s="271"/>
      <c r="H2" s="271"/>
      <c r="I2" s="271"/>
      <c r="J2" s="271"/>
      <c r="K2" s="271"/>
      <c r="L2" s="271"/>
      <c r="M2" s="271"/>
      <c r="N2" s="271"/>
      <c r="O2" s="271"/>
    </row>
    <row r="3" spans="1:18" x14ac:dyDescent="0.4">
      <c r="A3" s="271"/>
      <c r="B3" s="271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1"/>
    </row>
    <row r="4" spans="1:18" x14ac:dyDescent="0.4">
      <c r="A4" s="271" t="s">
        <v>0</v>
      </c>
      <c r="B4" s="271"/>
      <c r="C4" s="271"/>
      <c r="D4" s="271"/>
      <c r="E4" s="271"/>
      <c r="F4" s="271"/>
      <c r="G4" s="271"/>
      <c r="H4" s="271"/>
      <c r="I4" s="271"/>
      <c r="J4" s="271"/>
      <c r="K4" s="271"/>
      <c r="L4" s="271"/>
      <c r="M4" s="271"/>
      <c r="N4" s="271"/>
      <c r="O4" s="271"/>
    </row>
    <row r="5" spans="1:18" x14ac:dyDescent="0.4">
      <c r="A5" s="271"/>
      <c r="B5" s="271"/>
      <c r="C5" s="271"/>
      <c r="D5" s="271"/>
      <c r="E5" s="271"/>
      <c r="F5" s="271"/>
      <c r="G5" s="271"/>
      <c r="H5" s="271"/>
      <c r="I5" s="271"/>
      <c r="J5" s="271"/>
      <c r="K5" s="271"/>
      <c r="L5" s="271"/>
      <c r="M5" s="271"/>
      <c r="N5" s="271"/>
      <c r="O5" s="271"/>
      <c r="R5" s="3"/>
    </row>
    <row r="6" spans="1:18" ht="19.2" x14ac:dyDescent="0.4">
      <c r="A6" s="273" t="s">
        <v>1</v>
      </c>
      <c r="B6" s="271"/>
      <c r="C6" s="271"/>
      <c r="D6" s="271"/>
      <c r="E6" s="271"/>
      <c r="F6" s="271"/>
      <c r="G6" s="271"/>
      <c r="H6" s="271"/>
      <c r="I6" s="271"/>
      <c r="J6" s="271"/>
      <c r="K6" s="271"/>
      <c r="L6" s="271"/>
      <c r="M6" s="271"/>
      <c r="N6" s="271"/>
      <c r="O6" s="271"/>
      <c r="R6" s="2"/>
    </row>
    <row r="7" spans="1:18" x14ac:dyDescent="0.4">
      <c r="A7" s="271"/>
      <c r="B7" s="271"/>
      <c r="C7" s="271"/>
      <c r="D7" s="271"/>
      <c r="E7" s="271"/>
      <c r="F7" s="271"/>
      <c r="G7" s="271"/>
      <c r="H7" s="271"/>
      <c r="I7" s="271"/>
      <c r="J7" s="271"/>
      <c r="K7" s="271"/>
      <c r="L7" s="271"/>
      <c r="M7" s="271"/>
      <c r="N7" s="271"/>
      <c r="O7" s="271"/>
      <c r="R7" s="3"/>
    </row>
    <row r="8" spans="1:18" x14ac:dyDescent="0.4">
      <c r="A8" s="271" t="s">
        <v>2</v>
      </c>
      <c r="B8" s="271"/>
      <c r="C8" s="271"/>
      <c r="D8" s="271"/>
      <c r="E8" s="271"/>
      <c r="F8" s="271"/>
      <c r="G8" s="271"/>
      <c r="H8" s="271"/>
      <c r="I8" s="271"/>
      <c r="J8" s="271"/>
      <c r="K8" s="271"/>
      <c r="L8" s="271"/>
      <c r="M8" s="271"/>
      <c r="N8" s="271"/>
      <c r="O8" s="271"/>
    </row>
    <row r="9" spans="1:18" x14ac:dyDescent="0.4">
      <c r="A9" s="271"/>
      <c r="B9" s="271"/>
      <c r="C9" s="271"/>
      <c r="D9" s="271"/>
      <c r="E9" s="271"/>
      <c r="F9" s="271"/>
      <c r="G9" s="271"/>
      <c r="H9" s="271"/>
      <c r="I9" s="271"/>
      <c r="J9" s="271"/>
      <c r="K9" s="271"/>
      <c r="L9" s="271"/>
      <c r="M9" s="271"/>
      <c r="N9" s="271"/>
      <c r="O9" s="271"/>
    </row>
    <row r="10" spans="1:18" x14ac:dyDescent="0.4">
      <c r="A10" s="274" t="s">
        <v>464</v>
      </c>
      <c r="B10" s="271"/>
      <c r="C10" s="271"/>
      <c r="D10" s="271"/>
      <c r="E10" s="271"/>
      <c r="F10" s="271"/>
      <c r="G10" s="271"/>
      <c r="H10" s="271"/>
      <c r="I10" s="271"/>
      <c r="J10" s="271"/>
      <c r="K10" s="271"/>
      <c r="L10" s="271"/>
      <c r="M10" s="271"/>
      <c r="N10" s="271"/>
      <c r="O10" s="271"/>
    </row>
    <row r="11" spans="1:18" x14ac:dyDescent="0.4">
      <c r="A11" s="271" t="s">
        <v>366</v>
      </c>
      <c r="B11" s="271"/>
      <c r="C11" s="271"/>
      <c r="D11" s="271"/>
      <c r="E11" s="271"/>
      <c r="F11" s="271"/>
      <c r="G11" s="271"/>
      <c r="H11" s="271"/>
      <c r="I11" s="271"/>
      <c r="J11" s="271"/>
      <c r="K11" s="271"/>
      <c r="L11" s="271"/>
      <c r="M11" s="271"/>
      <c r="N11" s="271"/>
      <c r="O11" s="271"/>
    </row>
    <row r="12" spans="1:18" x14ac:dyDescent="0.4">
      <c r="A12" s="271" t="s">
        <v>372</v>
      </c>
      <c r="B12" s="271"/>
      <c r="C12" s="271"/>
      <c r="D12" s="271"/>
      <c r="E12" s="271"/>
      <c r="F12" s="271"/>
      <c r="G12" s="271"/>
      <c r="H12" s="271"/>
      <c r="I12" s="271"/>
      <c r="J12" s="271"/>
      <c r="K12" s="271"/>
      <c r="L12" s="271"/>
      <c r="M12" s="271"/>
      <c r="N12" s="271"/>
      <c r="O12" s="271"/>
    </row>
    <row r="13" spans="1:18" x14ac:dyDescent="0.4">
      <c r="A13" s="274"/>
      <c r="B13" s="271"/>
      <c r="C13" s="271"/>
      <c r="D13" s="271"/>
      <c r="E13" s="271"/>
      <c r="F13" s="271"/>
      <c r="G13" s="271"/>
      <c r="H13" s="271"/>
      <c r="I13" s="271"/>
      <c r="J13" s="271"/>
      <c r="K13" s="271"/>
      <c r="L13" s="271"/>
      <c r="M13" s="271"/>
      <c r="N13" s="271"/>
      <c r="O13" s="271"/>
    </row>
    <row r="14" spans="1:18" ht="19.2" x14ac:dyDescent="0.4">
      <c r="A14" s="273" t="s">
        <v>466</v>
      </c>
      <c r="B14" s="271"/>
      <c r="C14" s="271"/>
      <c r="D14" s="271"/>
      <c r="E14" s="271"/>
      <c r="F14" s="271"/>
      <c r="G14" s="271"/>
      <c r="H14" s="271"/>
      <c r="I14" s="271"/>
      <c r="J14" s="271"/>
      <c r="K14" s="271"/>
      <c r="L14" s="271"/>
      <c r="M14" s="271"/>
      <c r="N14" s="271"/>
      <c r="O14" s="271"/>
    </row>
    <row r="15" spans="1:18" x14ac:dyDescent="0.4">
      <c r="A15" s="271" t="s">
        <v>367</v>
      </c>
      <c r="B15" s="271"/>
      <c r="C15" s="271"/>
      <c r="D15" s="271"/>
      <c r="E15" s="271"/>
      <c r="F15" s="271"/>
      <c r="G15" s="271"/>
      <c r="H15" s="271"/>
      <c r="I15" s="271"/>
      <c r="J15" s="271"/>
      <c r="K15" s="271"/>
      <c r="L15" s="271"/>
      <c r="M15" s="271"/>
      <c r="N15" s="271"/>
      <c r="O15" s="271"/>
    </row>
    <row r="16" spans="1:18" x14ac:dyDescent="0.4">
      <c r="A16" s="271" t="s">
        <v>465</v>
      </c>
      <c r="B16" s="271"/>
      <c r="C16" s="271"/>
      <c r="D16" s="271"/>
      <c r="E16" s="271"/>
      <c r="F16" s="271"/>
      <c r="G16" s="271"/>
      <c r="H16" s="271"/>
      <c r="I16" s="271"/>
      <c r="J16" s="271"/>
      <c r="K16" s="271"/>
      <c r="L16" s="271"/>
      <c r="M16" s="271"/>
      <c r="N16" s="271"/>
      <c r="O16" s="271"/>
    </row>
    <row r="17" spans="1:15" x14ac:dyDescent="0.4">
      <c r="A17" s="271"/>
      <c r="B17" s="271"/>
      <c r="C17" s="271"/>
      <c r="D17" s="271"/>
      <c r="E17" s="271"/>
      <c r="F17" s="271"/>
      <c r="G17" s="271"/>
      <c r="H17" s="271"/>
      <c r="I17" s="271"/>
      <c r="J17" s="271"/>
      <c r="K17" s="271"/>
      <c r="L17" s="271"/>
      <c r="M17" s="271"/>
      <c r="N17" s="271"/>
      <c r="O17" s="271"/>
    </row>
    <row r="18" spans="1:15" x14ac:dyDescent="0.4">
      <c r="A18" s="274" t="s">
        <v>368</v>
      </c>
      <c r="B18" s="271"/>
      <c r="C18" s="271"/>
      <c r="D18" s="271"/>
      <c r="E18" s="271"/>
      <c r="F18" s="271"/>
      <c r="G18" s="271"/>
      <c r="H18" s="271"/>
      <c r="I18" s="271"/>
      <c r="J18" s="271"/>
      <c r="K18" s="271"/>
      <c r="L18" s="271"/>
      <c r="M18" s="271"/>
      <c r="N18" s="271"/>
      <c r="O18" s="271"/>
    </row>
    <row r="19" spans="1:15" x14ac:dyDescent="0.4">
      <c r="A19" s="271" t="s">
        <v>371</v>
      </c>
      <c r="B19" s="271"/>
      <c r="C19" s="271"/>
      <c r="D19" s="271"/>
      <c r="E19" s="271"/>
      <c r="F19" s="271"/>
      <c r="G19" s="271"/>
      <c r="H19" s="271"/>
      <c r="I19" s="271"/>
      <c r="J19" s="271"/>
      <c r="K19" s="271"/>
      <c r="L19" s="271"/>
      <c r="M19" s="271"/>
      <c r="N19" s="271"/>
      <c r="O19" s="271"/>
    </row>
    <row r="20" spans="1:15" x14ac:dyDescent="0.4">
      <c r="A20" s="271" t="s">
        <v>467</v>
      </c>
      <c r="B20" s="271"/>
      <c r="C20" s="271"/>
      <c r="D20" s="271"/>
      <c r="E20" s="271"/>
      <c r="F20" s="271"/>
      <c r="G20" s="271"/>
      <c r="H20" s="271"/>
      <c r="I20" s="271"/>
      <c r="J20" s="271"/>
      <c r="K20" s="271"/>
      <c r="L20" s="271"/>
      <c r="M20" s="271"/>
      <c r="N20" s="271"/>
      <c r="O20" s="271"/>
    </row>
    <row r="21" spans="1:15" x14ac:dyDescent="0.4">
      <c r="A21" s="271"/>
      <c r="B21" s="271"/>
      <c r="C21" s="271"/>
      <c r="D21" s="271"/>
      <c r="E21" s="271"/>
      <c r="F21" s="271"/>
      <c r="G21" s="271"/>
      <c r="H21" s="271"/>
      <c r="I21" s="271"/>
      <c r="J21" s="271"/>
      <c r="K21" s="271"/>
      <c r="L21" s="271"/>
      <c r="M21" s="271"/>
      <c r="N21" s="271"/>
      <c r="O21" s="271"/>
    </row>
    <row r="22" spans="1:15" x14ac:dyDescent="0.4">
      <c r="A22" s="274" t="s">
        <v>462</v>
      </c>
      <c r="B22" s="271"/>
      <c r="C22" s="271"/>
      <c r="D22" s="271"/>
      <c r="E22" s="271"/>
      <c r="F22" s="271"/>
      <c r="G22" s="271"/>
      <c r="H22" s="271"/>
      <c r="I22" s="271"/>
      <c r="J22" s="271"/>
      <c r="K22" s="271"/>
      <c r="L22" s="271"/>
      <c r="M22" s="271"/>
      <c r="N22" s="271"/>
      <c r="O22" s="271"/>
    </row>
    <row r="23" spans="1:15" x14ac:dyDescent="0.4">
      <c r="A23" s="271" t="s">
        <v>370</v>
      </c>
      <c r="B23" s="271"/>
      <c r="C23" s="271"/>
      <c r="D23" s="271"/>
      <c r="E23" s="271"/>
      <c r="F23" s="271"/>
      <c r="G23" s="271"/>
      <c r="H23" s="271"/>
      <c r="I23" s="271"/>
      <c r="J23" s="271"/>
      <c r="K23" s="271"/>
      <c r="L23" s="271"/>
      <c r="M23" s="271"/>
      <c r="N23" s="271"/>
      <c r="O23" s="271"/>
    </row>
    <row r="24" spans="1:15" x14ac:dyDescent="0.4">
      <c r="A24" s="271"/>
      <c r="B24" s="271"/>
      <c r="C24" s="271"/>
      <c r="D24" s="271"/>
      <c r="E24" s="271"/>
      <c r="F24" s="271"/>
      <c r="G24" s="271"/>
      <c r="H24" s="271"/>
      <c r="I24" s="271"/>
      <c r="J24" s="271"/>
      <c r="K24" s="271"/>
      <c r="L24" s="271"/>
      <c r="M24" s="271"/>
      <c r="N24" s="271"/>
      <c r="O24" s="271"/>
    </row>
    <row r="25" spans="1:15" ht="19.2" x14ac:dyDescent="0.4">
      <c r="A25" s="273" t="s">
        <v>369</v>
      </c>
      <c r="B25" s="271"/>
      <c r="C25" s="271"/>
      <c r="D25" s="271"/>
      <c r="E25" s="271"/>
      <c r="F25" s="271"/>
      <c r="G25" s="271"/>
      <c r="H25" s="271"/>
      <c r="I25" s="271"/>
      <c r="J25" s="271"/>
      <c r="K25" s="271"/>
      <c r="L25" s="271"/>
      <c r="M25" s="271"/>
      <c r="N25" s="271"/>
      <c r="O25" s="271"/>
    </row>
    <row r="26" spans="1:15" x14ac:dyDescent="0.4">
      <c r="A26" s="275" t="s">
        <v>373</v>
      </c>
      <c r="B26" s="271"/>
      <c r="C26" s="271"/>
      <c r="D26" s="271"/>
      <c r="E26" s="271"/>
      <c r="F26" s="271"/>
      <c r="G26" s="271"/>
      <c r="H26" s="271"/>
      <c r="I26" s="271"/>
      <c r="J26" s="271"/>
      <c r="K26" s="271"/>
      <c r="L26" s="271"/>
      <c r="M26" s="271"/>
      <c r="N26" s="271"/>
      <c r="O26" s="271"/>
    </row>
    <row r="27" spans="1:15" x14ac:dyDescent="0.4">
      <c r="A27" s="271" t="s">
        <v>374</v>
      </c>
      <c r="B27" s="271"/>
      <c r="C27" s="271"/>
      <c r="D27" s="271"/>
      <c r="E27" s="271"/>
      <c r="F27" s="271"/>
      <c r="G27" s="271"/>
      <c r="H27" s="271"/>
      <c r="I27" s="271"/>
      <c r="J27" s="271"/>
      <c r="K27" s="271"/>
      <c r="L27" s="271"/>
      <c r="M27" s="271"/>
      <c r="N27" s="271"/>
      <c r="O27" s="271"/>
    </row>
    <row r="28" spans="1:15" x14ac:dyDescent="0.4">
      <c r="A28" s="274" t="s">
        <v>468</v>
      </c>
      <c r="B28" s="271"/>
      <c r="C28" s="271"/>
      <c r="D28" s="271"/>
      <c r="E28" s="271"/>
      <c r="F28" s="271"/>
      <c r="G28" s="271"/>
      <c r="H28" s="271"/>
      <c r="I28" s="271"/>
      <c r="J28" s="271"/>
      <c r="K28" s="271"/>
      <c r="L28" s="271"/>
      <c r="M28" s="271"/>
      <c r="N28" s="271"/>
      <c r="O28" s="271"/>
    </row>
    <row r="29" spans="1:15" x14ac:dyDescent="0.4">
      <c r="A29" s="274"/>
      <c r="B29" s="271"/>
      <c r="C29" s="271"/>
      <c r="D29" s="271"/>
      <c r="E29" s="271"/>
      <c r="F29" s="271"/>
      <c r="G29" s="271"/>
      <c r="H29" s="271"/>
      <c r="I29" s="271"/>
      <c r="J29" s="271"/>
      <c r="K29" s="271"/>
      <c r="L29" s="271"/>
      <c r="M29" s="271"/>
      <c r="N29" s="271"/>
      <c r="O29" s="271"/>
    </row>
    <row r="30" spans="1:15" x14ac:dyDescent="0.4">
      <c r="A30" s="276" t="s">
        <v>523</v>
      </c>
      <c r="B30" s="271"/>
      <c r="C30" s="271"/>
      <c r="D30" s="271"/>
      <c r="E30" s="271"/>
      <c r="F30" s="271"/>
      <c r="G30" s="271"/>
      <c r="H30" s="271"/>
      <c r="I30" s="271"/>
      <c r="J30" s="271"/>
      <c r="K30" s="271"/>
      <c r="L30" s="271"/>
      <c r="M30" s="271"/>
      <c r="N30" s="271"/>
      <c r="O30" s="271"/>
    </row>
    <row r="31" spans="1:15" x14ac:dyDescent="0.4">
      <c r="A31" s="276"/>
      <c r="B31" s="271"/>
      <c r="C31" s="271"/>
      <c r="D31" s="271"/>
      <c r="E31" s="271"/>
      <c r="F31" s="271"/>
      <c r="G31" s="271"/>
      <c r="H31" s="271"/>
      <c r="I31" s="271"/>
      <c r="J31" s="271"/>
      <c r="K31" s="271"/>
      <c r="L31" s="271"/>
      <c r="M31" s="271"/>
      <c r="N31" s="271"/>
      <c r="O31" s="271"/>
    </row>
    <row r="32" spans="1:15" ht="19.2" x14ac:dyDescent="0.4">
      <c r="A32" s="273" t="s">
        <v>3</v>
      </c>
      <c r="B32" s="271"/>
      <c r="C32" s="271"/>
      <c r="D32" s="271"/>
      <c r="E32" s="271"/>
      <c r="F32" s="271"/>
      <c r="G32" s="271"/>
      <c r="H32" s="271"/>
      <c r="I32" s="271"/>
      <c r="J32" s="271"/>
      <c r="K32" s="271"/>
      <c r="L32" s="271"/>
      <c r="M32" s="271"/>
      <c r="N32" s="271"/>
      <c r="O32" s="271"/>
    </row>
    <row r="33" spans="1:15" x14ac:dyDescent="0.4">
      <c r="A33" s="275"/>
      <c r="B33" s="271"/>
      <c r="C33" s="271"/>
      <c r="D33" s="271"/>
      <c r="E33" s="271"/>
      <c r="F33" s="271"/>
      <c r="G33" s="271"/>
      <c r="H33" s="271"/>
      <c r="I33" s="271"/>
      <c r="J33" s="271"/>
      <c r="K33" s="271"/>
      <c r="L33" s="271"/>
      <c r="M33" s="271"/>
      <c r="N33" s="271"/>
      <c r="O33" s="271"/>
    </row>
    <row r="34" spans="1:15" x14ac:dyDescent="0.4">
      <c r="A34" s="276" t="s">
        <v>463</v>
      </c>
      <c r="B34" s="271"/>
      <c r="C34" s="271"/>
      <c r="D34" s="271"/>
      <c r="E34" s="271"/>
      <c r="F34" s="271"/>
      <c r="G34" s="271"/>
      <c r="H34" s="271"/>
      <c r="I34" s="271"/>
      <c r="J34" s="271"/>
      <c r="K34" s="271"/>
      <c r="L34" s="271"/>
      <c r="M34" s="271"/>
      <c r="N34" s="271"/>
      <c r="O34" s="271"/>
    </row>
    <row r="35" spans="1:15" x14ac:dyDescent="0.4">
      <c r="A35" s="275"/>
      <c r="B35" s="271"/>
      <c r="C35" s="271"/>
      <c r="D35" s="271"/>
      <c r="E35" s="271"/>
      <c r="F35" s="271"/>
      <c r="G35" s="271"/>
      <c r="H35" s="271"/>
      <c r="I35" s="271"/>
      <c r="J35" s="271"/>
      <c r="K35" s="271"/>
      <c r="L35" s="271"/>
      <c r="M35" s="271"/>
      <c r="N35" s="271"/>
      <c r="O35" s="271"/>
    </row>
    <row r="36" spans="1:15" x14ac:dyDescent="0.4">
      <c r="A36" s="276" t="s">
        <v>376</v>
      </c>
      <c r="B36" s="271"/>
      <c r="C36" s="271"/>
      <c r="D36" s="271"/>
      <c r="E36" s="271"/>
      <c r="F36" s="271"/>
      <c r="G36" s="271"/>
      <c r="H36" s="271"/>
      <c r="I36" s="271"/>
      <c r="J36" s="271"/>
      <c r="K36" s="271"/>
      <c r="L36" s="271"/>
      <c r="M36" s="271"/>
      <c r="N36" s="271"/>
      <c r="O36" s="271"/>
    </row>
    <row r="37" spans="1:15" x14ac:dyDescent="0.4">
      <c r="A37" s="275"/>
      <c r="B37" s="271"/>
      <c r="C37" s="271"/>
      <c r="D37" s="271"/>
      <c r="E37" s="271"/>
      <c r="F37" s="271"/>
      <c r="G37" s="271"/>
      <c r="H37" s="271"/>
      <c r="I37" s="271"/>
      <c r="J37" s="271"/>
      <c r="K37" s="271"/>
      <c r="L37" s="271"/>
      <c r="M37" s="271"/>
      <c r="N37" s="271"/>
      <c r="O37" s="271"/>
    </row>
    <row r="38" spans="1:15" x14ac:dyDescent="0.4">
      <c r="A38" s="276" t="s">
        <v>377</v>
      </c>
      <c r="B38" s="271"/>
      <c r="C38" s="271"/>
      <c r="D38" s="271"/>
      <c r="E38" s="271"/>
      <c r="F38" s="271"/>
      <c r="G38" s="271"/>
      <c r="H38" s="271"/>
      <c r="I38" s="271"/>
      <c r="J38" s="271"/>
      <c r="K38" s="271"/>
      <c r="L38" s="271"/>
      <c r="M38" s="271"/>
      <c r="N38" s="271"/>
      <c r="O38" s="271"/>
    </row>
    <row r="39" spans="1:15" x14ac:dyDescent="0.4">
      <c r="A39" s="275" t="s">
        <v>375</v>
      </c>
      <c r="B39" s="271"/>
      <c r="C39" s="271"/>
      <c r="D39" s="271"/>
      <c r="E39" s="271"/>
      <c r="F39" s="271"/>
      <c r="G39" s="271"/>
      <c r="H39" s="271"/>
      <c r="I39" s="271"/>
      <c r="J39" s="271"/>
      <c r="K39" s="271"/>
      <c r="L39" s="271"/>
      <c r="M39" s="271"/>
      <c r="N39" s="271"/>
      <c r="O39" s="271"/>
    </row>
    <row r="40" spans="1:15" x14ac:dyDescent="0.4">
      <c r="A40" s="271"/>
      <c r="B40" s="271"/>
      <c r="C40" s="271"/>
      <c r="D40" s="271"/>
      <c r="E40" s="271"/>
      <c r="F40" s="271"/>
      <c r="G40" s="271"/>
      <c r="H40" s="271"/>
      <c r="I40" s="271"/>
      <c r="J40" s="271"/>
      <c r="K40" s="271"/>
      <c r="L40" s="271"/>
      <c r="M40" s="271"/>
      <c r="N40" s="271"/>
      <c r="O40" s="271"/>
    </row>
    <row r="41" spans="1:15" x14ac:dyDescent="0.4">
      <c r="A41" s="271"/>
      <c r="B41" s="271"/>
      <c r="C41" s="271"/>
      <c r="D41" s="271"/>
      <c r="E41" s="271"/>
      <c r="F41" s="271"/>
      <c r="G41" s="271"/>
      <c r="H41" s="271"/>
      <c r="I41" s="271"/>
      <c r="J41" s="271"/>
      <c r="K41" s="271"/>
      <c r="L41" s="271"/>
      <c r="M41" s="271"/>
      <c r="N41" s="271"/>
      <c r="O41" s="271"/>
    </row>
    <row r="42" spans="1:15" ht="21" x14ac:dyDescent="0.4">
      <c r="A42" s="272" t="s">
        <v>378</v>
      </c>
      <c r="B42" s="271"/>
      <c r="C42" s="271"/>
      <c r="D42" s="271"/>
      <c r="E42" s="271"/>
      <c r="F42" s="271"/>
      <c r="G42" s="271"/>
      <c r="H42" s="271"/>
      <c r="I42" s="271"/>
      <c r="J42" s="271"/>
      <c r="K42" s="271"/>
      <c r="L42" s="271"/>
      <c r="M42" s="271"/>
      <c r="N42" s="271"/>
      <c r="O42" s="271"/>
    </row>
    <row r="43" spans="1:15" x14ac:dyDescent="0.4">
      <c r="A43" s="271"/>
      <c r="B43" s="271"/>
      <c r="C43" s="271"/>
      <c r="D43" s="271"/>
      <c r="E43" s="271"/>
      <c r="F43" s="271"/>
      <c r="G43" s="271"/>
      <c r="H43" s="271"/>
      <c r="I43" s="271"/>
      <c r="J43" s="271"/>
      <c r="K43" s="271"/>
      <c r="L43" s="271"/>
      <c r="M43" s="271"/>
      <c r="N43" s="271"/>
      <c r="O43" s="271"/>
    </row>
    <row r="44" spans="1:15" x14ac:dyDescent="0.4">
      <c r="A44" s="271" t="s">
        <v>381</v>
      </c>
      <c r="B44" s="271"/>
      <c r="C44" s="271"/>
      <c r="D44" s="271"/>
      <c r="E44" s="271"/>
      <c r="F44" s="271"/>
      <c r="G44" s="271"/>
      <c r="H44" s="271"/>
      <c r="I44" s="271"/>
      <c r="J44" s="271"/>
      <c r="K44" s="271"/>
      <c r="L44" s="271"/>
      <c r="M44" s="271"/>
      <c r="N44" s="271"/>
      <c r="O44" s="271"/>
    </row>
    <row r="45" spans="1:15" x14ac:dyDescent="0.4">
      <c r="A45" s="271"/>
      <c r="B45" s="271"/>
      <c r="C45" s="271"/>
      <c r="D45" s="271"/>
      <c r="E45" s="271"/>
      <c r="F45" s="271"/>
      <c r="G45" s="271"/>
      <c r="H45" s="271"/>
      <c r="I45" s="271"/>
      <c r="J45" s="271"/>
      <c r="K45" s="271"/>
      <c r="L45" s="271"/>
      <c r="M45" s="271"/>
      <c r="N45" s="271"/>
      <c r="O45" s="271"/>
    </row>
    <row r="46" spans="1:15" ht="19.2" x14ac:dyDescent="0.4">
      <c r="A46" s="273" t="s">
        <v>382</v>
      </c>
      <c r="B46" s="271"/>
      <c r="C46" s="271"/>
      <c r="D46" s="271"/>
      <c r="E46" s="271"/>
      <c r="F46" s="271"/>
      <c r="G46" s="271"/>
      <c r="H46" s="271"/>
      <c r="I46" s="271"/>
      <c r="J46" s="271"/>
      <c r="K46" s="271"/>
      <c r="L46" s="271"/>
      <c r="M46" s="271"/>
      <c r="N46" s="271"/>
      <c r="O46" s="271"/>
    </row>
    <row r="47" spans="1:15" x14ac:dyDescent="0.4">
      <c r="A47" s="275"/>
      <c r="B47" s="271"/>
      <c r="C47" s="271"/>
      <c r="D47" s="271"/>
      <c r="E47" s="271"/>
      <c r="F47" s="271"/>
      <c r="G47" s="271"/>
      <c r="H47" s="271"/>
      <c r="I47" s="271"/>
      <c r="J47" s="271"/>
      <c r="K47" s="271"/>
      <c r="L47" s="271"/>
      <c r="M47" s="271"/>
      <c r="N47" s="271"/>
      <c r="O47" s="271"/>
    </row>
    <row r="48" spans="1:15" x14ac:dyDescent="0.4">
      <c r="A48" s="270" t="s">
        <v>383</v>
      </c>
      <c r="B48" s="271"/>
      <c r="C48" s="271"/>
      <c r="D48" s="271"/>
      <c r="E48" s="271"/>
      <c r="F48" s="271"/>
      <c r="G48" s="271"/>
      <c r="H48" s="271"/>
      <c r="I48" s="271"/>
      <c r="J48" s="271"/>
      <c r="K48" s="271"/>
      <c r="L48" s="271"/>
      <c r="M48" s="271"/>
      <c r="N48" s="271"/>
      <c r="O48" s="271"/>
    </row>
    <row r="49" spans="1:15" x14ac:dyDescent="0.4">
      <c r="A49" s="275"/>
      <c r="B49" s="271"/>
      <c r="C49" s="271"/>
      <c r="D49" s="271"/>
      <c r="E49" s="271"/>
      <c r="F49" s="271"/>
      <c r="G49" s="271"/>
      <c r="H49" s="271"/>
      <c r="I49" s="271"/>
      <c r="J49" s="271"/>
      <c r="K49" s="271"/>
      <c r="L49" s="271"/>
      <c r="M49" s="271"/>
      <c r="N49" s="271"/>
      <c r="O49" s="271"/>
    </row>
    <row r="50" spans="1:15" x14ac:dyDescent="0.4">
      <c r="A50" s="270" t="s">
        <v>384</v>
      </c>
      <c r="B50" s="271"/>
      <c r="C50" s="271"/>
      <c r="D50" s="271"/>
      <c r="E50" s="271"/>
      <c r="F50" s="271"/>
      <c r="G50" s="271"/>
      <c r="H50" s="271"/>
      <c r="I50" s="271"/>
      <c r="J50" s="271"/>
      <c r="K50" s="271"/>
      <c r="L50" s="271"/>
      <c r="M50" s="271"/>
      <c r="N50" s="271"/>
      <c r="O50" s="271"/>
    </row>
    <row r="51" spans="1:15" x14ac:dyDescent="0.4">
      <c r="A51" s="276"/>
      <c r="B51" s="271"/>
      <c r="C51" s="271"/>
      <c r="D51" s="271"/>
      <c r="E51" s="271"/>
      <c r="F51" s="271"/>
      <c r="G51" s="271"/>
      <c r="H51" s="271"/>
      <c r="I51" s="271"/>
      <c r="J51" s="271"/>
      <c r="K51" s="271"/>
      <c r="L51" s="271"/>
      <c r="M51" s="271"/>
      <c r="N51" s="271"/>
      <c r="O51" s="271"/>
    </row>
    <row r="52" spans="1:15" x14ac:dyDescent="0.4">
      <c r="A52" t="s">
        <v>568</v>
      </c>
      <c r="B52" s="271"/>
      <c r="C52" s="271"/>
      <c r="D52" s="271"/>
      <c r="E52" s="271"/>
      <c r="F52" s="271"/>
      <c r="G52" s="271"/>
      <c r="H52" s="271"/>
      <c r="I52" s="271"/>
      <c r="J52" s="271"/>
      <c r="K52" s="271"/>
      <c r="L52" s="271"/>
      <c r="M52" s="271"/>
      <c r="N52" s="271"/>
      <c r="O52" s="271"/>
    </row>
    <row r="53" spans="1:15" x14ac:dyDescent="0.4">
      <c r="A53" s="276"/>
      <c r="B53" s="271"/>
      <c r="C53" s="271"/>
      <c r="D53" s="271"/>
      <c r="E53" s="271"/>
      <c r="F53" s="271"/>
      <c r="G53" s="271"/>
      <c r="H53" s="271"/>
      <c r="I53" s="271"/>
      <c r="J53" s="271"/>
      <c r="K53" s="271"/>
      <c r="L53" s="271"/>
      <c r="M53" s="271"/>
      <c r="N53" s="271"/>
      <c r="O53" s="271"/>
    </row>
    <row r="54" spans="1:15" x14ac:dyDescent="0.4">
      <c r="A54" s="275" t="s">
        <v>386</v>
      </c>
      <c r="B54" s="278"/>
      <c r="C54" s="271"/>
      <c r="D54" s="271"/>
      <c r="E54" s="271"/>
      <c r="F54" s="271"/>
      <c r="G54" s="271"/>
      <c r="H54" s="271"/>
      <c r="I54" s="271"/>
      <c r="J54" s="271"/>
      <c r="K54" s="271"/>
      <c r="L54" s="271"/>
      <c r="M54" s="271"/>
      <c r="N54" s="271"/>
      <c r="O54" s="271"/>
    </row>
    <row r="55" spans="1:15" x14ac:dyDescent="0.4">
      <c r="A55" s="277"/>
      <c r="B55" s="278"/>
      <c r="C55" s="271"/>
      <c r="D55" s="271"/>
      <c r="E55" s="271"/>
      <c r="F55" s="271"/>
      <c r="G55" s="271"/>
      <c r="H55" s="271"/>
      <c r="I55" s="271"/>
      <c r="J55" s="271"/>
      <c r="K55" s="271"/>
      <c r="L55" s="271"/>
      <c r="M55" s="271"/>
      <c r="N55" s="271"/>
      <c r="O55" s="271"/>
    </row>
    <row r="56" spans="1:15" x14ac:dyDescent="0.4">
      <c r="A56" s="275" t="s">
        <v>387</v>
      </c>
      <c r="B56" s="278"/>
      <c r="C56" s="271"/>
      <c r="D56" s="271"/>
      <c r="E56" s="271"/>
      <c r="F56" s="271"/>
      <c r="G56" s="271"/>
      <c r="H56" s="271"/>
      <c r="I56" s="271"/>
      <c r="J56" s="271"/>
      <c r="K56" s="271"/>
      <c r="L56" s="271"/>
      <c r="M56" s="271"/>
      <c r="N56" s="271"/>
      <c r="O56" s="271"/>
    </row>
    <row r="57" spans="1:15" x14ac:dyDescent="0.4">
      <c r="A57" s="276"/>
      <c r="B57" s="271"/>
      <c r="C57" s="271"/>
      <c r="D57" s="271"/>
      <c r="E57" s="271"/>
      <c r="F57" s="271"/>
      <c r="G57" s="271"/>
      <c r="H57" s="271"/>
      <c r="I57" s="271"/>
      <c r="J57" s="271"/>
      <c r="K57" s="271"/>
      <c r="L57" s="271"/>
      <c r="M57" s="271"/>
      <c r="N57" s="271"/>
      <c r="O57" s="271"/>
    </row>
    <row r="58" spans="1:15" ht="19.2" x14ac:dyDescent="0.4">
      <c r="A58" s="273" t="s">
        <v>385</v>
      </c>
      <c r="B58" s="271"/>
      <c r="C58" s="271"/>
      <c r="D58" s="271"/>
      <c r="E58" s="271"/>
      <c r="F58" s="271"/>
      <c r="G58" s="271"/>
      <c r="H58" s="271"/>
      <c r="I58" s="271"/>
      <c r="J58" s="271"/>
      <c r="K58" s="271"/>
      <c r="L58" s="271"/>
      <c r="M58" s="271"/>
      <c r="N58" s="271"/>
      <c r="O58" s="271"/>
    </row>
    <row r="59" spans="1:15" x14ac:dyDescent="0.4">
      <c r="A59" s="275"/>
      <c r="B59" s="271"/>
      <c r="C59" s="271"/>
      <c r="D59" s="271"/>
      <c r="E59" s="271"/>
      <c r="F59" s="271"/>
      <c r="G59" s="271"/>
      <c r="H59" s="271"/>
      <c r="I59" s="271"/>
      <c r="J59" s="271"/>
      <c r="K59" s="271"/>
      <c r="L59" s="271"/>
      <c r="M59" s="271"/>
      <c r="N59" s="271"/>
      <c r="O59" s="271"/>
    </row>
    <row r="60" spans="1:15" x14ac:dyDescent="0.4">
      <c r="A60" t="s">
        <v>388</v>
      </c>
      <c r="B60" s="271"/>
      <c r="C60" s="271"/>
      <c r="D60" s="271"/>
      <c r="E60" s="271"/>
      <c r="F60" s="271"/>
      <c r="G60" s="271"/>
      <c r="H60" s="271"/>
      <c r="I60" s="271"/>
      <c r="J60" s="271"/>
      <c r="K60" s="271"/>
      <c r="L60" s="271"/>
      <c r="M60" s="271"/>
      <c r="N60" s="271"/>
      <c r="O60" s="271"/>
    </row>
    <row r="61" spans="1:15" x14ac:dyDescent="0.4">
      <c r="A61" s="275"/>
      <c r="B61" s="271"/>
      <c r="C61" s="271"/>
      <c r="D61" s="271"/>
      <c r="E61" s="271"/>
      <c r="F61" s="271"/>
      <c r="G61" s="271"/>
      <c r="H61" s="271"/>
      <c r="I61" s="271"/>
      <c r="J61" s="271"/>
      <c r="K61" s="271"/>
      <c r="L61" s="271"/>
      <c r="M61" s="271"/>
      <c r="N61" s="271"/>
      <c r="O61" s="271"/>
    </row>
    <row r="62" spans="1:15" x14ac:dyDescent="0.4">
      <c r="A62" s="270" t="s">
        <v>389</v>
      </c>
      <c r="B62" s="271"/>
      <c r="C62" s="271"/>
      <c r="D62" s="271"/>
      <c r="E62" s="271"/>
      <c r="F62" s="271"/>
      <c r="G62" s="271"/>
      <c r="H62" s="271"/>
      <c r="I62" s="271"/>
      <c r="J62" s="271"/>
      <c r="K62" s="271"/>
      <c r="L62" s="271"/>
      <c r="M62" s="271"/>
      <c r="N62" s="271"/>
      <c r="O62" s="271"/>
    </row>
    <row r="63" spans="1:15" x14ac:dyDescent="0.4">
      <c r="A63" s="271"/>
      <c r="B63" s="271"/>
      <c r="C63" s="271"/>
      <c r="D63" s="271"/>
      <c r="E63" s="271"/>
      <c r="F63" s="271"/>
      <c r="G63" s="271"/>
      <c r="H63" s="271"/>
      <c r="I63" s="271"/>
      <c r="J63" s="271"/>
      <c r="K63" s="271"/>
      <c r="L63" s="271"/>
      <c r="M63" s="271"/>
      <c r="N63" s="271"/>
      <c r="O63" s="271"/>
    </row>
    <row r="64" spans="1:15" x14ac:dyDescent="0.4">
      <c r="A64" s="270" t="s">
        <v>390</v>
      </c>
      <c r="C64" s="271"/>
      <c r="D64" s="271"/>
      <c r="E64" s="271"/>
      <c r="F64" s="271"/>
      <c r="G64" s="271"/>
      <c r="H64" s="271"/>
      <c r="I64" s="271"/>
      <c r="J64" s="271"/>
      <c r="K64" s="271"/>
      <c r="L64" s="271"/>
      <c r="M64" s="271"/>
      <c r="O64" s="271"/>
    </row>
    <row r="65" spans="1:18" x14ac:dyDescent="0.4">
      <c r="C65" s="271"/>
      <c r="D65" s="271"/>
      <c r="E65" s="271"/>
      <c r="F65" s="271"/>
      <c r="G65" s="271"/>
      <c r="H65" s="271"/>
      <c r="I65" s="271"/>
      <c r="J65" s="271"/>
      <c r="K65" s="271"/>
      <c r="L65" s="271"/>
      <c r="M65" s="271"/>
      <c r="O65" s="271"/>
    </row>
    <row r="66" spans="1:18" x14ac:dyDescent="0.4">
      <c r="A66" t="s">
        <v>391</v>
      </c>
      <c r="C66" s="271"/>
      <c r="D66" s="271"/>
      <c r="E66" s="271"/>
      <c r="F66" s="271"/>
      <c r="G66" s="271"/>
      <c r="H66" s="271"/>
      <c r="I66" s="271"/>
      <c r="J66" s="271"/>
      <c r="K66" s="271"/>
      <c r="L66" s="271"/>
      <c r="M66" s="271"/>
      <c r="O66" s="271"/>
    </row>
    <row r="67" spans="1:18" x14ac:dyDescent="0.4">
      <c r="A67" s="4" t="s">
        <v>562</v>
      </c>
      <c r="C67" s="271"/>
      <c r="D67" s="271"/>
      <c r="E67" s="271"/>
      <c r="F67" s="271"/>
      <c r="G67" s="271"/>
      <c r="H67" s="271"/>
      <c r="I67" s="271"/>
      <c r="J67" s="271"/>
      <c r="K67" s="271"/>
      <c r="L67" s="271"/>
      <c r="M67" s="271"/>
      <c r="O67" s="271"/>
    </row>
    <row r="68" spans="1:18" x14ac:dyDescent="0.4">
      <c r="A68" t="s">
        <v>563</v>
      </c>
      <c r="C68" s="271"/>
      <c r="D68" s="271"/>
      <c r="E68" s="271"/>
      <c r="F68" s="271"/>
      <c r="G68" s="271"/>
      <c r="H68" s="271"/>
      <c r="I68" s="271"/>
      <c r="J68" s="271"/>
      <c r="K68" s="271"/>
      <c r="L68" s="271"/>
      <c r="M68" s="271"/>
      <c r="O68" s="271"/>
    </row>
    <row r="69" spans="1:18" x14ac:dyDescent="0.4">
      <c r="A69" t="s">
        <v>564</v>
      </c>
      <c r="C69" s="271"/>
      <c r="D69" s="271"/>
      <c r="E69" s="271"/>
      <c r="F69" s="271"/>
      <c r="G69" s="271"/>
      <c r="H69" s="271"/>
      <c r="I69" s="271"/>
      <c r="J69" s="271"/>
      <c r="K69" s="271"/>
      <c r="L69" s="271"/>
      <c r="M69" s="271"/>
      <c r="O69" s="271"/>
    </row>
    <row r="70" spans="1:18" ht="18.600000000000001" customHeight="1" x14ac:dyDescent="0.4">
      <c r="A70" s="4" t="s">
        <v>566</v>
      </c>
      <c r="C70" s="271"/>
      <c r="D70" s="271"/>
      <c r="E70" s="271"/>
      <c r="F70" s="271"/>
      <c r="G70" s="271"/>
      <c r="H70" s="271"/>
      <c r="I70" s="271"/>
      <c r="J70" s="271"/>
      <c r="K70" s="271"/>
      <c r="L70" s="271"/>
      <c r="M70" s="271"/>
      <c r="O70" s="271"/>
    </row>
    <row r="71" spans="1:18" ht="18.600000000000001" customHeight="1" x14ac:dyDescent="0.4">
      <c r="A71" s="1" t="s">
        <v>565</v>
      </c>
      <c r="C71" s="271"/>
      <c r="D71" s="271"/>
      <c r="E71" s="271"/>
      <c r="F71" s="271"/>
      <c r="G71" s="271"/>
      <c r="H71" s="271"/>
      <c r="I71" s="271"/>
      <c r="J71" s="271"/>
      <c r="K71" s="271"/>
      <c r="L71" s="271"/>
      <c r="M71" s="271"/>
      <c r="O71" s="271"/>
    </row>
    <row r="72" spans="1:18" ht="18.600000000000001" customHeight="1" x14ac:dyDescent="0.4">
      <c r="A72" s="4" t="s">
        <v>567</v>
      </c>
      <c r="C72" s="271"/>
      <c r="D72" s="271"/>
      <c r="E72" s="271"/>
      <c r="F72" s="271"/>
      <c r="G72" s="271"/>
      <c r="H72" s="271"/>
      <c r="I72" s="271"/>
      <c r="J72" s="271"/>
      <c r="K72" s="271"/>
      <c r="L72" s="271"/>
      <c r="M72" s="271"/>
      <c r="O72" s="271"/>
    </row>
    <row r="73" spans="1:18" x14ac:dyDescent="0.4">
      <c r="A73" s="4"/>
      <c r="C73" s="271"/>
      <c r="D73" s="271"/>
      <c r="E73" s="271"/>
      <c r="F73" s="271"/>
      <c r="G73" s="271"/>
      <c r="H73" s="271"/>
      <c r="I73" s="271"/>
      <c r="J73" s="271"/>
      <c r="K73" s="271"/>
      <c r="L73" s="271"/>
      <c r="M73" s="271"/>
      <c r="O73" s="271"/>
    </row>
    <row r="74" spans="1:18" x14ac:dyDescent="0.4">
      <c r="C74" s="271"/>
      <c r="D74" s="271"/>
      <c r="E74" s="271"/>
      <c r="F74" s="271"/>
      <c r="G74" s="271"/>
      <c r="H74" s="271"/>
      <c r="I74" s="271"/>
      <c r="J74" s="271"/>
      <c r="K74" s="271"/>
      <c r="L74" s="271"/>
      <c r="M74" s="271"/>
      <c r="O74" s="271"/>
    </row>
    <row r="75" spans="1:18" ht="21" x14ac:dyDescent="0.4">
      <c r="A75" s="27" t="s">
        <v>551</v>
      </c>
      <c r="C75" s="271"/>
      <c r="D75" s="271"/>
      <c r="E75" s="271"/>
      <c r="F75" s="271"/>
      <c r="G75" s="271"/>
      <c r="H75" s="271"/>
      <c r="I75" s="271"/>
      <c r="J75" s="271"/>
      <c r="K75" s="271"/>
      <c r="L75" s="271"/>
      <c r="M75" s="271"/>
      <c r="O75" s="271"/>
      <c r="R75" s="271"/>
    </row>
    <row r="76" spans="1:18" x14ac:dyDescent="0.4">
      <c r="A76" t="s">
        <v>553</v>
      </c>
      <c r="C76" s="271"/>
      <c r="D76" s="271"/>
      <c r="E76" s="271"/>
      <c r="F76" s="271"/>
      <c r="G76" s="271"/>
      <c r="H76" s="271"/>
      <c r="I76" s="271"/>
      <c r="J76" s="271"/>
      <c r="K76" s="271"/>
      <c r="L76" s="271"/>
      <c r="M76" s="271"/>
      <c r="O76" s="271"/>
      <c r="R76" s="271"/>
    </row>
    <row r="77" spans="1:18" x14ac:dyDescent="0.4">
      <c r="C77" s="271"/>
      <c r="D77" s="271"/>
      <c r="E77" s="271"/>
      <c r="F77" s="271"/>
      <c r="G77" s="271"/>
      <c r="H77" s="271"/>
      <c r="I77" s="271"/>
      <c r="J77" s="271"/>
      <c r="K77" s="271"/>
      <c r="L77" s="271"/>
      <c r="M77" s="271"/>
      <c r="O77" s="271"/>
      <c r="R77" s="271"/>
    </row>
    <row r="78" spans="1:18" x14ac:dyDescent="0.4">
      <c r="A78" s="4" t="s">
        <v>556</v>
      </c>
      <c r="C78" s="271"/>
      <c r="D78" s="271"/>
      <c r="E78" s="271"/>
      <c r="F78" s="271"/>
      <c r="G78" s="271"/>
      <c r="H78" s="271"/>
      <c r="I78" s="271"/>
      <c r="J78" s="271"/>
      <c r="K78" s="271"/>
      <c r="L78" s="271"/>
      <c r="M78" s="271"/>
      <c r="O78" s="271"/>
      <c r="R78" s="271"/>
    </row>
    <row r="79" spans="1:18" x14ac:dyDescent="0.4">
      <c r="A79" s="4" t="s">
        <v>555</v>
      </c>
      <c r="C79" s="271"/>
      <c r="D79" s="271"/>
      <c r="E79" s="271"/>
      <c r="F79" s="271"/>
      <c r="G79" s="271"/>
      <c r="H79" s="271"/>
      <c r="I79" s="271"/>
      <c r="J79" s="271"/>
      <c r="K79" s="271"/>
      <c r="L79" s="271"/>
      <c r="M79" s="271"/>
      <c r="O79" s="271"/>
      <c r="R79" s="271"/>
    </row>
    <row r="80" spans="1:18" x14ac:dyDescent="0.4">
      <c r="A80" s="1" t="s">
        <v>554</v>
      </c>
      <c r="B80" s="1"/>
      <c r="C80" s="271"/>
      <c r="D80" s="271"/>
      <c r="E80" s="271"/>
      <c r="F80" s="271"/>
      <c r="G80" s="271"/>
      <c r="H80" s="271"/>
      <c r="I80" s="271"/>
      <c r="J80" s="271"/>
      <c r="K80" s="271"/>
      <c r="L80" s="271"/>
      <c r="M80" s="271"/>
      <c r="O80" s="271"/>
      <c r="R80" s="271"/>
    </row>
    <row r="81" spans="1:18" x14ac:dyDescent="0.4">
      <c r="A81" s="4" t="s">
        <v>558</v>
      </c>
      <c r="C81" s="271"/>
      <c r="D81" s="271"/>
      <c r="E81" s="271"/>
      <c r="F81" s="271"/>
      <c r="G81" s="271"/>
      <c r="H81" s="271"/>
      <c r="I81" s="271"/>
      <c r="J81" s="271"/>
      <c r="K81" s="271"/>
      <c r="L81" s="271"/>
      <c r="M81" s="271"/>
      <c r="O81" s="271"/>
      <c r="R81" s="271"/>
    </row>
    <row r="82" spans="1:18" x14ac:dyDescent="0.4">
      <c r="A82" s="1" t="s">
        <v>557</v>
      </c>
      <c r="C82" s="271"/>
      <c r="D82" s="271"/>
      <c r="E82" s="271"/>
      <c r="F82" s="271"/>
      <c r="G82" s="271"/>
      <c r="H82" s="271"/>
      <c r="I82" s="271"/>
      <c r="J82" s="271"/>
      <c r="K82" s="271"/>
      <c r="L82" s="271"/>
      <c r="M82" s="271"/>
      <c r="O82" s="271"/>
      <c r="R82" s="271"/>
    </row>
    <row r="83" spans="1:18" x14ac:dyDescent="0.4">
      <c r="A83" s="1"/>
      <c r="C83" s="271"/>
      <c r="D83" s="271"/>
      <c r="E83" s="271"/>
      <c r="F83" s="271"/>
      <c r="G83" s="271"/>
      <c r="H83" s="271"/>
      <c r="I83" s="271"/>
      <c r="J83" s="271"/>
      <c r="K83" s="271"/>
      <c r="L83" s="271"/>
      <c r="M83" s="271"/>
      <c r="O83" s="271"/>
      <c r="R83" s="271"/>
    </row>
    <row r="84" spans="1:18" x14ac:dyDescent="0.4">
      <c r="A84" s="4" t="s">
        <v>559</v>
      </c>
      <c r="C84" s="271"/>
      <c r="D84" s="271"/>
      <c r="E84" s="271"/>
      <c r="F84" s="271"/>
      <c r="G84" s="271"/>
      <c r="H84" s="271"/>
      <c r="I84" s="271"/>
      <c r="J84" s="271"/>
      <c r="K84" s="271"/>
      <c r="L84" s="271"/>
      <c r="M84" s="271"/>
      <c r="O84" s="271"/>
      <c r="R84" s="271"/>
    </row>
    <row r="85" spans="1:18" x14ac:dyDescent="0.4">
      <c r="A85" s="1" t="s">
        <v>560</v>
      </c>
      <c r="C85" s="271"/>
      <c r="D85" s="271"/>
      <c r="E85" s="271"/>
      <c r="F85" s="271"/>
      <c r="G85" s="271"/>
      <c r="H85" s="271"/>
      <c r="I85" s="271"/>
      <c r="J85" s="271"/>
      <c r="K85" s="271"/>
      <c r="L85" s="271"/>
      <c r="M85" s="271"/>
      <c r="O85" s="271"/>
      <c r="R85" s="271"/>
    </row>
    <row r="86" spans="1:18" x14ac:dyDescent="0.4">
      <c r="A86" s="1" t="s">
        <v>561</v>
      </c>
      <c r="C86" s="271"/>
      <c r="D86" s="271"/>
      <c r="E86" s="271"/>
      <c r="F86" s="271"/>
      <c r="G86" s="271"/>
      <c r="H86" s="271"/>
      <c r="I86" s="271"/>
      <c r="J86" s="271"/>
      <c r="K86" s="271"/>
      <c r="L86" s="271"/>
      <c r="M86" s="271"/>
      <c r="O86" s="271"/>
      <c r="R86" s="271"/>
    </row>
    <row r="87" spans="1:18" x14ac:dyDescent="0.4">
      <c r="A87" s="1"/>
      <c r="C87" s="271"/>
      <c r="D87" s="271"/>
      <c r="E87" s="271"/>
      <c r="F87" s="271"/>
      <c r="G87" s="271"/>
      <c r="H87" s="271"/>
      <c r="I87" s="271"/>
      <c r="J87" s="271"/>
      <c r="K87" s="271"/>
      <c r="L87" s="271"/>
      <c r="M87" s="271"/>
      <c r="O87" s="271"/>
      <c r="R87" s="271"/>
    </row>
    <row r="88" spans="1:18" x14ac:dyDescent="0.4">
      <c r="A88" s="276" t="s">
        <v>379</v>
      </c>
      <c r="C88" s="271"/>
      <c r="D88" s="271"/>
      <c r="E88" s="271"/>
      <c r="F88" s="271"/>
      <c r="G88" s="271"/>
      <c r="H88" s="271"/>
      <c r="I88" s="271"/>
      <c r="J88" s="271"/>
      <c r="K88" s="271"/>
      <c r="L88" s="271"/>
      <c r="M88" s="271"/>
      <c r="O88" s="271"/>
      <c r="Q88" s="271"/>
      <c r="R88" s="271"/>
    </row>
    <row r="89" spans="1:18" x14ac:dyDescent="0.4">
      <c r="B89" s="271"/>
      <c r="C89" s="271"/>
      <c r="D89" s="271"/>
      <c r="E89" s="271"/>
      <c r="F89" s="271"/>
      <c r="G89" s="271"/>
      <c r="H89" s="271"/>
      <c r="I89" s="271"/>
      <c r="J89" s="271"/>
      <c r="K89" s="271"/>
      <c r="L89" s="271"/>
      <c r="M89" s="271"/>
      <c r="O89" s="271"/>
      <c r="R89" s="271"/>
    </row>
    <row r="90" spans="1:18" x14ac:dyDescent="0.4">
      <c r="A90" s="271" t="s">
        <v>380</v>
      </c>
      <c r="B90" s="271"/>
      <c r="C90" s="271"/>
      <c r="D90" s="271"/>
      <c r="E90" s="271"/>
      <c r="F90" s="271"/>
      <c r="G90" s="271"/>
      <c r="H90" s="271"/>
      <c r="I90" s="271"/>
      <c r="J90" s="271"/>
      <c r="K90" s="271"/>
      <c r="L90" s="271"/>
      <c r="M90" s="271"/>
      <c r="O90" s="271"/>
      <c r="Q90" s="275"/>
      <c r="R90" s="271"/>
    </row>
    <row r="91" spans="1:18" ht="21" x14ac:dyDescent="0.4">
      <c r="A91" s="272"/>
      <c r="B91" s="271"/>
      <c r="C91" s="271"/>
      <c r="D91" s="271"/>
      <c r="E91" s="271"/>
      <c r="F91" s="271"/>
      <c r="G91" s="271"/>
      <c r="H91" s="271"/>
      <c r="I91" s="271"/>
      <c r="J91" s="271"/>
      <c r="K91" s="271"/>
      <c r="L91" s="271"/>
      <c r="M91" s="271"/>
      <c r="O91" s="271"/>
      <c r="R91" s="271"/>
    </row>
    <row r="92" spans="1:18" x14ac:dyDescent="0.4">
      <c r="A92" s="276"/>
      <c r="B92" s="271"/>
      <c r="C92" s="271"/>
      <c r="D92" s="271"/>
      <c r="E92" s="271"/>
      <c r="F92" s="271"/>
      <c r="G92" s="271"/>
      <c r="H92" s="271"/>
      <c r="I92" s="271"/>
      <c r="J92" s="271"/>
      <c r="K92" s="271"/>
      <c r="L92" s="271"/>
      <c r="M92" s="271"/>
      <c r="O92" s="271"/>
      <c r="Q92" s="271"/>
      <c r="R92" s="271"/>
    </row>
    <row r="93" spans="1:18" x14ac:dyDescent="0.4">
      <c r="A93" s="271"/>
      <c r="B93" s="271"/>
      <c r="C93" s="271"/>
      <c r="D93" s="271"/>
      <c r="E93" s="271"/>
      <c r="F93" s="271"/>
      <c r="G93" s="271"/>
      <c r="H93" s="271"/>
      <c r="I93" s="271"/>
      <c r="J93" s="271"/>
      <c r="K93" s="271"/>
      <c r="L93" s="271"/>
      <c r="M93" s="271"/>
      <c r="O93" s="271"/>
    </row>
    <row r="94" spans="1:18" x14ac:dyDescent="0.4">
      <c r="A94" s="271"/>
      <c r="B94" s="271"/>
      <c r="C94" s="271"/>
      <c r="D94" s="271"/>
      <c r="E94" s="271"/>
      <c r="F94" s="271"/>
      <c r="G94" s="271"/>
      <c r="H94" s="271"/>
      <c r="I94" s="271"/>
      <c r="J94" s="271"/>
      <c r="K94" s="271"/>
      <c r="L94" s="271"/>
      <c r="M94" s="271"/>
      <c r="O94" s="271"/>
    </row>
    <row r="95" spans="1:18" x14ac:dyDescent="0.4">
      <c r="A95" s="271"/>
      <c r="B95" s="271"/>
      <c r="C95" s="271"/>
      <c r="D95" s="271"/>
      <c r="E95" s="271"/>
      <c r="F95" s="271"/>
      <c r="G95" s="271"/>
      <c r="H95" s="271"/>
      <c r="I95" s="271"/>
      <c r="J95" s="271"/>
      <c r="K95" s="271"/>
      <c r="L95" s="271"/>
      <c r="M95" s="271"/>
      <c r="O95" s="271"/>
    </row>
    <row r="96" spans="1:18" x14ac:dyDescent="0.4">
      <c r="A96" s="271"/>
      <c r="B96" s="271"/>
      <c r="C96" s="271"/>
      <c r="D96" s="271"/>
      <c r="E96" s="271"/>
      <c r="F96" s="271"/>
      <c r="G96" s="271"/>
      <c r="H96" s="271"/>
      <c r="I96" s="271"/>
      <c r="J96" s="271"/>
      <c r="K96" s="271"/>
      <c r="L96" s="271"/>
      <c r="M96" s="271"/>
      <c r="N96" s="271"/>
      <c r="O96" s="271"/>
    </row>
    <row r="97" spans="1:15" x14ac:dyDescent="0.4">
      <c r="A97" s="271"/>
      <c r="B97" s="271"/>
      <c r="C97" s="271"/>
      <c r="D97" s="271"/>
      <c r="E97" s="271"/>
      <c r="F97" s="271"/>
      <c r="G97" s="271"/>
      <c r="H97" s="271"/>
      <c r="I97" s="271"/>
      <c r="J97" s="271"/>
      <c r="K97" s="271"/>
      <c r="L97" s="271"/>
      <c r="M97" s="271"/>
      <c r="N97" s="271"/>
      <c r="O97" s="271"/>
    </row>
    <row r="98" spans="1:15" x14ac:dyDescent="0.4">
      <c r="A98" s="271"/>
      <c r="B98" s="271"/>
      <c r="C98" s="271"/>
      <c r="D98" s="271"/>
      <c r="E98" s="271"/>
      <c r="F98" s="271"/>
      <c r="G98" s="271"/>
      <c r="H98" s="271"/>
      <c r="I98" s="271"/>
      <c r="J98" s="271"/>
      <c r="K98" s="271"/>
      <c r="L98" s="271"/>
      <c r="M98" s="271"/>
      <c r="N98" s="271"/>
      <c r="O98" s="271"/>
    </row>
    <row r="99" spans="1:15" x14ac:dyDescent="0.4">
      <c r="A99" s="271"/>
      <c r="B99" s="271"/>
      <c r="C99" s="271"/>
      <c r="D99" s="271"/>
      <c r="E99" s="271"/>
      <c r="F99" s="271"/>
      <c r="G99" s="271"/>
      <c r="H99" s="271"/>
      <c r="I99" s="271"/>
      <c r="J99" s="271"/>
      <c r="K99" s="271"/>
      <c r="L99" s="271"/>
      <c r="M99" s="271"/>
      <c r="N99" s="271"/>
      <c r="O99" s="271"/>
    </row>
    <row r="100" spans="1:15" x14ac:dyDescent="0.4">
      <c r="A100" s="271"/>
      <c r="B100" s="271"/>
      <c r="C100" s="271"/>
      <c r="D100" s="271"/>
      <c r="E100" s="271"/>
      <c r="F100" s="271"/>
      <c r="G100" s="271"/>
      <c r="H100" s="271"/>
      <c r="I100" s="271"/>
      <c r="J100" s="271"/>
      <c r="K100" s="271"/>
      <c r="L100" s="271"/>
      <c r="M100" s="271"/>
      <c r="N100" s="271"/>
      <c r="O100" s="271"/>
    </row>
    <row r="101" spans="1:15" x14ac:dyDescent="0.4">
      <c r="A101" s="271"/>
      <c r="B101" s="271"/>
      <c r="C101" s="271"/>
      <c r="D101" s="271"/>
      <c r="E101" s="271"/>
      <c r="F101" s="271"/>
      <c r="G101" s="271"/>
      <c r="H101" s="271"/>
      <c r="I101" s="271"/>
      <c r="J101" s="271"/>
      <c r="K101" s="271"/>
      <c r="L101" s="271"/>
      <c r="M101" s="271"/>
      <c r="N101" s="271"/>
      <c r="O101" s="271"/>
    </row>
    <row r="102" spans="1:15" x14ac:dyDescent="0.4">
      <c r="A102" s="271"/>
      <c r="B102" s="271"/>
      <c r="C102" s="271"/>
      <c r="D102" s="271"/>
      <c r="E102" s="271"/>
      <c r="F102" s="271"/>
      <c r="G102" s="271"/>
      <c r="H102" s="271"/>
      <c r="I102" s="271"/>
      <c r="J102" s="271"/>
      <c r="K102" s="271"/>
      <c r="L102" s="271"/>
      <c r="M102" s="271"/>
      <c r="N102" s="271"/>
      <c r="O102" s="271"/>
    </row>
    <row r="103" spans="1:15" x14ac:dyDescent="0.4">
      <c r="A103" s="271"/>
      <c r="B103" s="271"/>
      <c r="C103" s="271"/>
      <c r="D103" s="271"/>
      <c r="E103" s="271"/>
      <c r="F103" s="271"/>
      <c r="G103" s="271"/>
      <c r="H103" s="271"/>
      <c r="I103" s="271"/>
      <c r="J103" s="271"/>
      <c r="K103" s="271"/>
      <c r="L103" s="271"/>
      <c r="M103" s="271"/>
      <c r="N103" s="271"/>
      <c r="O103" s="271"/>
    </row>
    <row r="104" spans="1:15" x14ac:dyDescent="0.4">
      <c r="A104" s="271"/>
      <c r="B104" s="271"/>
      <c r="C104" s="271"/>
      <c r="D104" s="271"/>
      <c r="E104" s="271"/>
      <c r="F104" s="271"/>
      <c r="G104" s="271"/>
      <c r="H104" s="271"/>
      <c r="I104" s="271"/>
      <c r="J104" s="271"/>
      <c r="K104" s="271"/>
      <c r="L104" s="271"/>
      <c r="M104" s="271"/>
      <c r="N104" s="271"/>
      <c r="O104" s="271"/>
    </row>
    <row r="105" spans="1:15" x14ac:dyDescent="0.4">
      <c r="A105" s="271"/>
      <c r="B105" s="271"/>
      <c r="C105" s="271"/>
      <c r="D105" s="271"/>
      <c r="E105" s="271"/>
      <c r="F105" s="271"/>
      <c r="G105" s="271"/>
      <c r="H105" s="271"/>
      <c r="I105" s="271"/>
      <c r="J105" s="271"/>
      <c r="K105" s="271"/>
      <c r="L105" s="271"/>
      <c r="M105" s="271"/>
      <c r="N105" s="271"/>
      <c r="O105" s="271"/>
    </row>
    <row r="106" spans="1:15" x14ac:dyDescent="0.4">
      <c r="A106" s="271"/>
      <c r="B106" s="271"/>
      <c r="C106" s="271"/>
      <c r="D106" s="271"/>
      <c r="E106" s="271"/>
      <c r="F106" s="271"/>
      <c r="G106" s="271"/>
      <c r="H106" s="271"/>
      <c r="I106" s="271"/>
      <c r="J106" s="271"/>
      <c r="K106" s="271"/>
      <c r="L106" s="271"/>
      <c r="M106" s="271"/>
      <c r="N106" s="271"/>
      <c r="O106" s="271"/>
    </row>
    <row r="107" spans="1:15" x14ac:dyDescent="0.4">
      <c r="A107" s="271"/>
      <c r="B107" s="271"/>
      <c r="C107" s="271"/>
      <c r="D107" s="271"/>
      <c r="E107" s="271"/>
      <c r="F107" s="271"/>
      <c r="G107" s="271"/>
      <c r="H107" s="271"/>
      <c r="I107" s="271"/>
      <c r="J107" s="271"/>
      <c r="K107" s="271"/>
      <c r="L107" s="271"/>
      <c r="M107" s="271"/>
      <c r="N107" s="271"/>
      <c r="O107" s="271"/>
    </row>
    <row r="108" spans="1:15" x14ac:dyDescent="0.4">
      <c r="A108" s="271"/>
      <c r="B108" s="271"/>
      <c r="C108" s="271"/>
      <c r="D108" s="271"/>
      <c r="E108" s="271"/>
      <c r="F108" s="271"/>
      <c r="G108" s="271"/>
      <c r="H108" s="271"/>
      <c r="I108" s="271"/>
      <c r="J108" s="271"/>
      <c r="K108" s="271"/>
      <c r="L108" s="271"/>
      <c r="M108" s="271"/>
      <c r="N108" s="271"/>
      <c r="O108" s="271"/>
    </row>
    <row r="109" spans="1:15" x14ac:dyDescent="0.4">
      <c r="A109" s="271"/>
      <c r="B109" s="271"/>
      <c r="C109" s="271"/>
      <c r="D109" s="271"/>
      <c r="E109" s="271"/>
      <c r="F109" s="271"/>
      <c r="G109" s="271"/>
      <c r="H109" s="271"/>
      <c r="I109" s="271"/>
      <c r="J109" s="271"/>
      <c r="K109" s="271"/>
      <c r="L109" s="271"/>
      <c r="M109" s="271"/>
      <c r="N109" s="271"/>
      <c r="O109" s="271"/>
    </row>
    <row r="110" spans="1:15" x14ac:dyDescent="0.4">
      <c r="A110" s="271"/>
      <c r="B110" s="271"/>
      <c r="C110" s="271"/>
      <c r="D110" s="271"/>
      <c r="E110" s="271"/>
      <c r="F110" s="271"/>
      <c r="G110" s="271"/>
      <c r="H110" s="271"/>
      <c r="I110" s="271"/>
      <c r="J110" s="271"/>
      <c r="K110" s="271"/>
      <c r="L110" s="271"/>
      <c r="M110" s="271"/>
      <c r="N110" s="271"/>
      <c r="O110" s="271"/>
    </row>
    <row r="111" spans="1:15" x14ac:dyDescent="0.4">
      <c r="A111" s="271"/>
      <c r="B111" s="271"/>
      <c r="C111" s="271"/>
      <c r="D111" s="271"/>
      <c r="E111" s="271"/>
      <c r="F111" s="271"/>
      <c r="G111" s="271"/>
      <c r="H111" s="271"/>
      <c r="I111" s="271"/>
      <c r="J111" s="271"/>
      <c r="K111" s="271"/>
      <c r="L111" s="271"/>
      <c r="M111" s="271"/>
      <c r="N111" s="271"/>
      <c r="O111" s="27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L46"/>
  <sheetViews>
    <sheetView showGridLines="0" topLeftCell="A12" workbookViewId="0">
      <selection activeCell="H5" sqref="H5"/>
    </sheetView>
  </sheetViews>
  <sheetFormatPr defaultRowHeight="17.399999999999999" x14ac:dyDescent="0.4"/>
  <cols>
    <col min="1" max="1" width="4.59765625" customWidth="1"/>
    <col min="11" max="11" width="5.59765625" customWidth="1"/>
  </cols>
  <sheetData>
    <row r="2" spans="2:12" ht="30" x14ac:dyDescent="0.4">
      <c r="B2" s="26" t="s">
        <v>121</v>
      </c>
      <c r="L2" s="25" t="s">
        <v>122</v>
      </c>
    </row>
    <row r="4" spans="2:12" ht="21" x14ac:dyDescent="0.4">
      <c r="B4" s="4" t="s">
        <v>103</v>
      </c>
      <c r="L4" s="27" t="s">
        <v>123</v>
      </c>
    </row>
    <row r="5" spans="2:12" x14ac:dyDescent="0.4">
      <c r="B5" s="4"/>
      <c r="L5" s="2"/>
    </row>
    <row r="6" spans="2:12" x14ac:dyDescent="0.4">
      <c r="B6" s="11" t="s">
        <v>104</v>
      </c>
      <c r="L6" s="28" t="s">
        <v>124</v>
      </c>
    </row>
    <row r="7" spans="2:12" x14ac:dyDescent="0.4">
      <c r="B7" s="10" t="s">
        <v>113</v>
      </c>
      <c r="L7" s="2"/>
    </row>
    <row r="8" spans="2:12" x14ac:dyDescent="0.4">
      <c r="B8" s="5" t="s">
        <v>112</v>
      </c>
      <c r="L8" s="28" t="s">
        <v>129</v>
      </c>
    </row>
    <row r="9" spans="2:12" x14ac:dyDescent="0.4">
      <c r="B9" s="5"/>
      <c r="L9" t="s">
        <v>131</v>
      </c>
    </row>
    <row r="10" spans="2:12" x14ac:dyDescent="0.4">
      <c r="B10" s="4" t="s">
        <v>105</v>
      </c>
      <c r="L10" t="s">
        <v>132</v>
      </c>
    </row>
    <row r="12" spans="2:12" ht="16.5" customHeight="1" x14ac:dyDescent="0.4">
      <c r="B12" s="10" t="s">
        <v>107</v>
      </c>
      <c r="E12" s="23"/>
      <c r="L12" s="27" t="s">
        <v>125</v>
      </c>
    </row>
    <row r="13" spans="2:12" ht="16.5" customHeight="1" x14ac:dyDescent="0.4">
      <c r="B13" s="5" t="s">
        <v>106</v>
      </c>
      <c r="L13" s="2"/>
    </row>
    <row r="14" spans="2:12" ht="16.5" customHeight="1" x14ac:dyDescent="0.4">
      <c r="L14" s="28" t="s">
        <v>130</v>
      </c>
    </row>
    <row r="15" spans="2:12" ht="16.5" customHeight="1" x14ac:dyDescent="0.4">
      <c r="B15" s="4" t="s">
        <v>120</v>
      </c>
      <c r="L15" t="s">
        <v>133</v>
      </c>
    </row>
    <row r="16" spans="2:12" ht="16.5" customHeight="1" x14ac:dyDescent="0.4">
      <c r="B16" s="11" t="s">
        <v>108</v>
      </c>
      <c r="L16" t="s">
        <v>134</v>
      </c>
    </row>
    <row r="17" spans="2:12" ht="16.5" customHeight="1" x14ac:dyDescent="0.4">
      <c r="B17" s="5" t="s">
        <v>109</v>
      </c>
    </row>
    <row r="18" spans="2:12" ht="16.5" customHeight="1" x14ac:dyDescent="0.4">
      <c r="B18" s="11" t="s">
        <v>110</v>
      </c>
      <c r="L18" s="27" t="s">
        <v>126</v>
      </c>
    </row>
    <row r="19" spans="2:12" ht="16.5" customHeight="1" x14ac:dyDescent="0.4"/>
    <row r="20" spans="2:12" ht="16.5" customHeight="1" x14ac:dyDescent="0.4">
      <c r="B20" s="4" t="s">
        <v>111</v>
      </c>
      <c r="L20" s="28" t="s">
        <v>135</v>
      </c>
    </row>
    <row r="21" spans="2:12" ht="16.5" customHeight="1" x14ac:dyDescent="0.4">
      <c r="B21" s="11" t="s">
        <v>114</v>
      </c>
      <c r="L21" t="s">
        <v>136</v>
      </c>
    </row>
    <row r="22" spans="2:12" ht="16.5" customHeight="1" x14ac:dyDescent="0.4">
      <c r="B22" s="11" t="s">
        <v>115</v>
      </c>
      <c r="L22" t="s">
        <v>137</v>
      </c>
    </row>
    <row r="23" spans="2:12" ht="16.5" customHeight="1" x14ac:dyDescent="0.4"/>
    <row r="24" spans="2:12" ht="16.5" customHeight="1" x14ac:dyDescent="0.4">
      <c r="B24" s="4" t="s">
        <v>116</v>
      </c>
      <c r="L24" s="28" t="s">
        <v>138</v>
      </c>
    </row>
    <row r="25" spans="2:12" ht="16.5" customHeight="1" x14ac:dyDescent="0.4">
      <c r="L25" t="s">
        <v>139</v>
      </c>
    </row>
    <row r="26" spans="2:12" x14ac:dyDescent="0.4">
      <c r="B26" s="11" t="s">
        <v>118</v>
      </c>
    </row>
    <row r="27" spans="2:12" ht="21" x14ac:dyDescent="0.4">
      <c r="B27" s="5" t="s">
        <v>117</v>
      </c>
      <c r="L27" s="27" t="s">
        <v>127</v>
      </c>
    </row>
    <row r="29" spans="2:12" x14ac:dyDescent="0.4">
      <c r="L29" s="28" t="s">
        <v>140</v>
      </c>
    </row>
    <row r="30" spans="2:12" x14ac:dyDescent="0.4">
      <c r="L30" t="s">
        <v>141</v>
      </c>
    </row>
    <row r="32" spans="2:12" ht="21" x14ac:dyDescent="0.4">
      <c r="L32" s="27" t="s">
        <v>128</v>
      </c>
    </row>
    <row r="34" spans="12:12" x14ac:dyDescent="0.4">
      <c r="L34" s="28" t="s">
        <v>142</v>
      </c>
    </row>
    <row r="35" spans="12:12" x14ac:dyDescent="0.4">
      <c r="L35" t="s">
        <v>143</v>
      </c>
    </row>
    <row r="36" spans="12:12" x14ac:dyDescent="0.4">
      <c r="L36" s="2"/>
    </row>
    <row r="38" spans="12:12" x14ac:dyDescent="0.4">
      <c r="L38" s="2"/>
    </row>
    <row r="42" spans="12:12" x14ac:dyDescent="0.4">
      <c r="L42" s="2"/>
    </row>
    <row r="46" spans="12:12" x14ac:dyDescent="0.4">
      <c r="L46" s="2"/>
    </row>
  </sheetData>
  <phoneticPr fontId="2" type="noConversion"/>
  <pageMargins left="0.31496062992125984" right="0.31496062992125984" top="0.74803149606299213" bottom="0.74803149606299213" header="0.31496062992125984" footer="0.31496062992125984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"/>
  <dimension ref="A1:AF131"/>
  <sheetViews>
    <sheetView view="pageBreakPreview" topLeftCell="B3" zoomScale="80" zoomScaleNormal="100" zoomScaleSheetLayoutView="80" workbookViewId="0">
      <selection activeCell="M28" sqref="M28"/>
    </sheetView>
  </sheetViews>
  <sheetFormatPr defaultColWidth="8.69921875" defaultRowHeight="17.399999999999999" x14ac:dyDescent="0.4"/>
  <cols>
    <col min="1" max="1" width="2.59765625" hidden="1" customWidth="1"/>
    <col min="2" max="2" width="9.59765625" customWidth="1"/>
    <col min="3" max="3" width="22.09765625" customWidth="1"/>
    <col min="4" max="4" width="5.5" customWidth="1"/>
    <col min="5" max="5" width="10" customWidth="1"/>
    <col min="6" max="6" width="11.09765625" bestFit="1" customWidth="1"/>
    <col min="7" max="7" width="9.3984375" customWidth="1"/>
    <col min="8" max="8" width="7.5" customWidth="1"/>
    <col min="9" max="9" width="12.5" bestFit="1" customWidth="1"/>
    <col min="10" max="10" width="7.5" bestFit="1" customWidth="1"/>
    <col min="11" max="11" width="6.8984375" customWidth="1"/>
    <col min="13" max="13" width="29.5" customWidth="1"/>
    <col min="14" max="14" width="16.5" customWidth="1"/>
    <col min="15" max="15" width="15.19921875" customWidth="1"/>
    <col min="16" max="16" width="11.59765625" customWidth="1"/>
    <col min="17" max="17" width="8.19921875" bestFit="1" customWidth="1"/>
    <col min="18" max="18" width="14.5" bestFit="1" customWidth="1"/>
    <col min="19" max="19" width="11.5" customWidth="1"/>
    <col min="31" max="31" width="9" customWidth="1"/>
  </cols>
  <sheetData>
    <row r="1" spans="2:25" ht="11.4" hidden="1" customHeight="1" x14ac:dyDescent="0.4">
      <c r="B1" s="145"/>
      <c r="C1" s="145"/>
      <c r="D1" s="146"/>
      <c r="E1" s="145"/>
      <c r="F1" s="145"/>
      <c r="G1" s="145"/>
      <c r="H1" s="147"/>
      <c r="I1" s="145"/>
      <c r="J1" s="145"/>
      <c r="K1" s="145"/>
      <c r="L1" s="145"/>
      <c r="M1" s="145"/>
      <c r="N1" s="145"/>
      <c r="O1" s="148"/>
      <c r="P1" s="145"/>
      <c r="Q1" s="145"/>
      <c r="R1" s="145"/>
      <c r="S1" s="145"/>
      <c r="T1" s="145"/>
      <c r="U1" s="145"/>
    </row>
    <row r="2" spans="2:25" ht="24.6" x14ac:dyDescent="0.4">
      <c r="B2" s="776" t="s">
        <v>234</v>
      </c>
      <c r="C2" s="776"/>
      <c r="D2" s="776"/>
      <c r="E2" s="776"/>
      <c r="F2" s="776"/>
      <c r="G2" s="776"/>
      <c r="H2" s="776"/>
      <c r="I2" s="776"/>
      <c r="J2" s="776"/>
      <c r="K2" s="776"/>
      <c r="L2" s="149"/>
      <c r="M2" s="150" t="s">
        <v>235</v>
      </c>
      <c r="N2" s="145"/>
      <c r="O2" s="151"/>
      <c r="P2" s="145"/>
      <c r="Q2" s="145"/>
      <c r="R2" s="145"/>
      <c r="S2" s="145"/>
      <c r="T2" s="145"/>
      <c r="U2" s="777">
        <f>P5+P6</f>
        <v>550</v>
      </c>
    </row>
    <row r="3" spans="2:25" ht="16.95" customHeight="1" x14ac:dyDescent="0.4">
      <c r="B3" s="152"/>
      <c r="C3" s="152"/>
      <c r="D3" s="153"/>
      <c r="E3" s="152"/>
      <c r="F3" s="152"/>
      <c r="G3" s="152"/>
      <c r="H3" s="154"/>
      <c r="I3" s="152"/>
      <c r="J3" s="152"/>
      <c r="K3" s="152"/>
      <c r="L3" s="149"/>
      <c r="M3" s="145"/>
      <c r="N3" s="145"/>
      <c r="O3" s="151"/>
      <c r="P3" s="145"/>
      <c r="Q3" s="145"/>
      <c r="R3" s="145"/>
      <c r="S3" s="155" t="s">
        <v>236</v>
      </c>
      <c r="T3" s="155" t="s">
        <v>236</v>
      </c>
      <c r="U3" s="778"/>
      <c r="X3">
        <v>0.5</v>
      </c>
    </row>
    <row r="4" spans="2:25" ht="30" customHeight="1" x14ac:dyDescent="0.4">
      <c r="B4" s="156"/>
      <c r="C4" s="156"/>
      <c r="D4" s="146"/>
      <c r="E4" s="156"/>
      <c r="F4" s="157"/>
      <c r="G4" s="156"/>
      <c r="H4" s="147"/>
      <c r="I4" s="145"/>
      <c r="J4" s="145"/>
      <c r="K4" s="145"/>
      <c r="L4" s="149"/>
      <c r="M4" s="158" t="s">
        <v>237</v>
      </c>
      <c r="N4" s="158" t="s">
        <v>238</v>
      </c>
      <c r="O4" s="159" t="s">
        <v>239</v>
      </c>
      <c r="P4" s="160" t="s">
        <v>240</v>
      </c>
      <c r="Q4" s="158" t="s">
        <v>241</v>
      </c>
      <c r="R4" s="158" t="s">
        <v>242</v>
      </c>
      <c r="S4" s="158" t="s">
        <v>243</v>
      </c>
      <c r="T4" s="158" t="s">
        <v>243</v>
      </c>
      <c r="U4" s="158" t="s">
        <v>244</v>
      </c>
      <c r="X4">
        <v>950</v>
      </c>
    </row>
    <row r="5" spans="2:25" ht="16.95" customHeight="1" x14ac:dyDescent="0.4">
      <c r="B5" s="145"/>
      <c r="C5" s="779" t="s">
        <v>245</v>
      </c>
      <c r="D5" s="779"/>
      <c r="E5" s="779"/>
      <c r="F5" s="161">
        <v>10</v>
      </c>
      <c r="G5" s="156"/>
      <c r="H5" s="147" t="s">
        <v>246</v>
      </c>
      <c r="I5" s="145"/>
      <c r="J5" s="145"/>
      <c r="K5" s="145"/>
      <c r="L5" s="149"/>
      <c r="M5" s="162" t="s">
        <v>247</v>
      </c>
      <c r="N5" s="163" t="s">
        <v>248</v>
      </c>
      <c r="O5" s="164">
        <v>1.1000000000000001</v>
      </c>
      <c r="P5" s="162">
        <v>385</v>
      </c>
      <c r="Q5" s="165">
        <f>P5/$P$21</f>
        <v>0.14168200021647365</v>
      </c>
      <c r="R5" s="166">
        <f>P5/O5</f>
        <v>350</v>
      </c>
      <c r="S5" s="167">
        <f>R5/$R$20</f>
        <v>0.33118597030160779</v>
      </c>
      <c r="T5" s="167">
        <f>R5/$R$21</f>
        <v>0.2501515687556724</v>
      </c>
      <c r="U5" s="166">
        <f>P5/$U$2*100</f>
        <v>70</v>
      </c>
    </row>
    <row r="6" spans="2:25" ht="16.95" customHeight="1" x14ac:dyDescent="0.4">
      <c r="B6" s="156"/>
      <c r="C6" s="156"/>
      <c r="D6" s="156"/>
      <c r="E6" s="156"/>
      <c r="F6" s="145"/>
      <c r="G6" s="156"/>
      <c r="H6" s="147"/>
      <c r="I6" s="145"/>
      <c r="J6" s="145"/>
      <c r="K6" s="145"/>
      <c r="L6" s="149"/>
      <c r="M6" s="162" t="s">
        <v>249</v>
      </c>
      <c r="N6" s="163" t="s">
        <v>250</v>
      </c>
      <c r="O6" s="164">
        <v>1</v>
      </c>
      <c r="P6" s="162">
        <v>165</v>
      </c>
      <c r="Q6" s="165">
        <f t="shared" ref="Q6:Q18" si="0">P6/$P$21</f>
        <v>6.0720857235631559E-2</v>
      </c>
      <c r="R6" s="166">
        <f>P6/O6</f>
        <v>165</v>
      </c>
      <c r="S6" s="167">
        <f t="shared" ref="S6:S17" si="1">R6/$R$20</f>
        <v>0.15613052885647224</v>
      </c>
      <c r="T6" s="167">
        <f t="shared" ref="T6:T17" si="2">R6/$R$21</f>
        <v>0.11792859669910272</v>
      </c>
      <c r="U6" s="166">
        <f t="shared" ref="U6:U18" si="3">P6/$U$2*100</f>
        <v>30</v>
      </c>
      <c r="Y6">
        <f>3.14*X3*X4/60</f>
        <v>24.858333333333334</v>
      </c>
    </row>
    <row r="7" spans="2:25" ht="16.95" customHeight="1" x14ac:dyDescent="0.4">
      <c r="B7" s="168" t="s">
        <v>251</v>
      </c>
      <c r="C7" s="169"/>
      <c r="D7" s="170"/>
      <c r="E7" s="169"/>
      <c r="F7" s="171"/>
      <c r="G7" s="169"/>
      <c r="H7" s="172"/>
      <c r="I7" s="173"/>
      <c r="J7" s="173"/>
      <c r="K7" s="173"/>
      <c r="L7" s="149"/>
      <c r="M7" s="162" t="s">
        <v>252</v>
      </c>
      <c r="N7" s="163" t="s">
        <v>253</v>
      </c>
      <c r="O7" s="164">
        <v>0.90600000000000003</v>
      </c>
      <c r="P7" s="162">
        <v>36</v>
      </c>
      <c r="Q7" s="165">
        <f t="shared" si="0"/>
        <v>1.3248187033228704E-2</v>
      </c>
      <c r="R7" s="166">
        <f>P7/O7</f>
        <v>39.735099337748345</v>
      </c>
      <c r="S7" s="167">
        <f t="shared" si="1"/>
        <v>3.7599164083437026E-2</v>
      </c>
      <c r="T7" s="167">
        <f t="shared" si="2"/>
        <v>2.8399421240000652E-2</v>
      </c>
      <c r="U7" s="166">
        <f t="shared" si="3"/>
        <v>6.5454545454545459</v>
      </c>
    </row>
    <row r="8" spans="2:25" ht="16.95" customHeight="1" x14ac:dyDescent="0.4">
      <c r="B8" s="145"/>
      <c r="C8" s="174" t="s">
        <v>254</v>
      </c>
      <c r="D8" s="175"/>
      <c r="E8" s="176"/>
      <c r="F8" s="177">
        <f>O20</f>
        <v>1.7484726740666026</v>
      </c>
      <c r="G8" s="780" t="s">
        <v>255</v>
      </c>
      <c r="H8" s="781"/>
      <c r="I8" s="149"/>
      <c r="J8" s="149"/>
      <c r="K8" s="149"/>
      <c r="L8" s="149"/>
      <c r="M8" s="178" t="s">
        <v>256</v>
      </c>
      <c r="N8" s="163" t="s">
        <v>257</v>
      </c>
      <c r="O8" s="164">
        <v>1.04</v>
      </c>
      <c r="P8" s="162">
        <v>8.3000000000000007</v>
      </c>
      <c r="Q8" s="165">
        <f t="shared" si="0"/>
        <v>3.0544431215499515E-3</v>
      </c>
      <c r="R8" s="166">
        <f t="shared" ref="R8:R18" si="4">P8/O8</f>
        <v>7.9807692307692308</v>
      </c>
      <c r="S8" s="167">
        <f t="shared" si="1"/>
        <v>7.5517680041300682E-3</v>
      </c>
      <c r="T8" s="167">
        <f t="shared" si="2"/>
        <v>5.7040055512969264E-3</v>
      </c>
      <c r="U8" s="166">
        <f t="shared" si="3"/>
        <v>1.5090909090909093</v>
      </c>
    </row>
    <row r="9" spans="2:25" ht="16.95" customHeight="1" x14ac:dyDescent="0.4">
      <c r="B9" s="145"/>
      <c r="C9" s="174" t="s">
        <v>258</v>
      </c>
      <c r="D9" s="179"/>
      <c r="E9" s="180"/>
      <c r="F9" s="181">
        <v>0.04</v>
      </c>
      <c r="G9" s="782" t="s">
        <v>259</v>
      </c>
      <c r="H9" s="783"/>
      <c r="I9" s="149"/>
      <c r="J9" s="149"/>
      <c r="K9" s="149"/>
      <c r="L9" s="149"/>
      <c r="M9" s="162" t="s">
        <v>260</v>
      </c>
      <c r="N9" s="163" t="s">
        <v>261</v>
      </c>
      <c r="O9" s="164">
        <v>1.095</v>
      </c>
      <c r="P9" s="162">
        <v>28</v>
      </c>
      <c r="Q9" s="165">
        <f t="shared" si="0"/>
        <v>1.0304145470288992E-2</v>
      </c>
      <c r="R9" s="166">
        <f t="shared" si="4"/>
        <v>25.570776255707763</v>
      </c>
      <c r="S9" s="167">
        <f t="shared" si="1"/>
        <v>2.4196235273176828E-2</v>
      </c>
      <c r="T9" s="167">
        <f t="shared" si="2"/>
        <v>1.827591369904456E-2</v>
      </c>
      <c r="U9" s="166">
        <f t="shared" si="3"/>
        <v>5.0909090909090908</v>
      </c>
    </row>
    <row r="10" spans="2:25" ht="16.95" customHeight="1" x14ac:dyDescent="0.4">
      <c r="B10" s="145"/>
      <c r="C10" s="784" t="s">
        <v>262</v>
      </c>
      <c r="D10" s="785"/>
      <c r="E10" s="786"/>
      <c r="F10" s="182">
        <v>930</v>
      </c>
      <c r="G10" s="782" t="s">
        <v>259</v>
      </c>
      <c r="H10" s="783"/>
      <c r="I10" s="149"/>
      <c r="J10" s="149"/>
      <c r="K10" s="149"/>
      <c r="L10" s="149"/>
      <c r="M10" s="178" t="s">
        <v>263</v>
      </c>
      <c r="N10" s="163" t="s">
        <v>264</v>
      </c>
      <c r="O10" s="164">
        <v>2.0499999999999998</v>
      </c>
      <c r="P10" s="162">
        <v>50</v>
      </c>
      <c r="Q10" s="165">
        <f t="shared" si="0"/>
        <v>1.8400259768373201E-2</v>
      </c>
      <c r="R10" s="166">
        <f t="shared" si="4"/>
        <v>24.390243902439025</v>
      </c>
      <c r="S10" s="167">
        <f t="shared" si="1"/>
        <v>2.3079161693491834E-2</v>
      </c>
      <c r="T10" s="167">
        <f t="shared" si="2"/>
        <v>1.74321650700817E-2</v>
      </c>
      <c r="U10" s="166">
        <f t="shared" si="3"/>
        <v>9.0909090909090917</v>
      </c>
    </row>
    <row r="11" spans="2:25" ht="16.95" customHeight="1" x14ac:dyDescent="0.4">
      <c r="B11" s="145"/>
      <c r="C11" s="149"/>
      <c r="D11" s="149"/>
      <c r="E11" s="149"/>
      <c r="F11" s="149"/>
      <c r="G11" s="149"/>
      <c r="H11" s="149"/>
      <c r="I11" s="149"/>
      <c r="J11" s="149"/>
      <c r="K11" s="149"/>
      <c r="L11" s="149"/>
      <c r="M11" s="162" t="s">
        <v>265</v>
      </c>
      <c r="N11" s="163" t="s">
        <v>266</v>
      </c>
      <c r="O11" s="164">
        <v>1.2</v>
      </c>
      <c r="P11" s="162"/>
      <c r="Q11" s="165">
        <f t="shared" si="0"/>
        <v>0</v>
      </c>
      <c r="R11" s="166">
        <f t="shared" si="4"/>
        <v>0</v>
      </c>
      <c r="S11" s="167">
        <f t="shared" si="1"/>
        <v>0</v>
      </c>
      <c r="T11" s="167">
        <f t="shared" si="2"/>
        <v>0</v>
      </c>
      <c r="U11" s="166">
        <f t="shared" si="3"/>
        <v>0</v>
      </c>
    </row>
    <row r="12" spans="2:25" ht="16.95" customHeight="1" x14ac:dyDescent="0.4">
      <c r="B12" s="145"/>
      <c r="C12" s="779" t="s">
        <v>267</v>
      </c>
      <c r="D12" s="779"/>
      <c r="E12" s="779"/>
      <c r="F12" s="183">
        <v>4740</v>
      </c>
      <c r="G12" s="175" t="s">
        <v>268</v>
      </c>
      <c r="H12" s="184"/>
      <c r="I12" s="149"/>
      <c r="J12" s="149"/>
      <c r="K12" s="149"/>
      <c r="L12" s="149"/>
      <c r="M12" s="178" t="s">
        <v>269</v>
      </c>
      <c r="N12" s="163" t="s">
        <v>270</v>
      </c>
      <c r="O12" s="164">
        <v>0.95799999999999996</v>
      </c>
      <c r="P12" s="162"/>
      <c r="Q12" s="165">
        <f t="shared" si="0"/>
        <v>0</v>
      </c>
      <c r="R12" s="166">
        <f t="shared" si="4"/>
        <v>0</v>
      </c>
      <c r="S12" s="167">
        <f t="shared" si="1"/>
        <v>0</v>
      </c>
      <c r="T12" s="167">
        <f t="shared" si="2"/>
        <v>0</v>
      </c>
      <c r="U12" s="166">
        <f t="shared" si="3"/>
        <v>0</v>
      </c>
    </row>
    <row r="13" spans="2:25" ht="16.95" customHeight="1" x14ac:dyDescent="0.4">
      <c r="B13" s="145"/>
      <c r="C13" s="779" t="s">
        <v>271</v>
      </c>
      <c r="D13" s="779"/>
      <c r="E13" s="779"/>
      <c r="F13" s="185">
        <v>0.32</v>
      </c>
      <c r="G13" s="149"/>
      <c r="H13" s="149"/>
      <c r="I13" s="149"/>
      <c r="J13" s="149"/>
      <c r="K13" s="149"/>
      <c r="L13" s="149"/>
      <c r="M13" s="162" t="s">
        <v>272</v>
      </c>
      <c r="N13" s="163" t="s">
        <v>273</v>
      </c>
      <c r="O13" s="164">
        <v>1.2</v>
      </c>
      <c r="P13" s="162">
        <v>1.7</v>
      </c>
      <c r="Q13" s="165">
        <f t="shared" si="0"/>
        <v>6.2560883212468875E-4</v>
      </c>
      <c r="R13" s="166">
        <f t="shared" si="4"/>
        <v>1.4166666666666667</v>
      </c>
      <c r="S13" s="167">
        <f t="shared" si="1"/>
        <v>1.3405146416969841E-3</v>
      </c>
      <c r="T13" s="167">
        <f t="shared" si="2"/>
        <v>1.0125182544872455E-3</v>
      </c>
      <c r="U13" s="166">
        <f t="shared" si="3"/>
        <v>0.30909090909090908</v>
      </c>
    </row>
    <row r="14" spans="2:25" ht="16.95" customHeight="1" x14ac:dyDescent="0.4">
      <c r="B14" s="145"/>
      <c r="C14" s="779"/>
      <c r="D14" s="779"/>
      <c r="E14" s="779"/>
      <c r="F14" s="186">
        <f>F12*F13</f>
        <v>1516.8</v>
      </c>
      <c r="G14" s="187" t="s">
        <v>268</v>
      </c>
      <c r="H14" s="184"/>
      <c r="I14" s="149"/>
      <c r="J14" s="149"/>
      <c r="K14" s="149"/>
      <c r="L14" s="149"/>
      <c r="M14" s="162" t="s">
        <v>274</v>
      </c>
      <c r="N14" s="163" t="s">
        <v>275</v>
      </c>
      <c r="O14" s="164">
        <v>1.0149999999999999</v>
      </c>
      <c r="P14" s="162">
        <v>2.2000000000000002</v>
      </c>
      <c r="Q14" s="165">
        <f t="shared" si="0"/>
        <v>8.0961142980842085E-4</v>
      </c>
      <c r="R14" s="166">
        <f t="shared" si="4"/>
        <v>2.1674876847290645</v>
      </c>
      <c r="S14" s="167">
        <f t="shared" si="1"/>
        <v>2.0509757485250874E-3</v>
      </c>
      <c r="T14" s="167">
        <f t="shared" si="2"/>
        <v>1.5491441274102166E-3</v>
      </c>
      <c r="U14" s="166">
        <f t="shared" si="3"/>
        <v>0.4</v>
      </c>
    </row>
    <row r="15" spans="2:25" ht="16.95" customHeight="1" x14ac:dyDescent="0.4">
      <c r="B15" s="145"/>
      <c r="C15" s="174" t="s">
        <v>276</v>
      </c>
      <c r="D15" s="175"/>
      <c r="E15" s="176"/>
      <c r="F15" s="188">
        <f>F12-F14</f>
        <v>3223.2</v>
      </c>
      <c r="G15" s="155" t="s">
        <v>268</v>
      </c>
      <c r="H15" s="189"/>
      <c r="I15" s="149"/>
      <c r="J15" s="149"/>
      <c r="K15" s="149"/>
      <c r="L15" s="149"/>
      <c r="M15" s="162" t="s">
        <v>277</v>
      </c>
      <c r="N15" s="163" t="s">
        <v>278</v>
      </c>
      <c r="O15" s="164">
        <v>1.0349999999999999</v>
      </c>
      <c r="P15" s="162"/>
      <c r="Q15" s="165">
        <f t="shared" si="0"/>
        <v>0</v>
      </c>
      <c r="R15" s="166">
        <f t="shared" si="4"/>
        <v>0</v>
      </c>
      <c r="S15" s="167">
        <f t="shared" si="1"/>
        <v>0</v>
      </c>
      <c r="T15" s="167">
        <f t="shared" si="2"/>
        <v>0</v>
      </c>
      <c r="U15" s="166">
        <f t="shared" si="3"/>
        <v>0</v>
      </c>
    </row>
    <row r="16" spans="2:25" ht="16.95" customHeight="1" thickBot="1" x14ac:dyDescent="0.45">
      <c r="B16" s="145"/>
      <c r="C16" s="156"/>
      <c r="D16" s="156"/>
      <c r="E16" s="156"/>
      <c r="F16" s="149"/>
      <c r="G16" s="149"/>
      <c r="H16" s="149"/>
      <c r="I16" s="149"/>
      <c r="J16" s="149"/>
      <c r="K16" s="149"/>
      <c r="L16" s="149"/>
      <c r="M16" s="162" t="s">
        <v>279</v>
      </c>
      <c r="N16" s="163" t="s">
        <v>280</v>
      </c>
      <c r="O16" s="164">
        <v>2.7</v>
      </c>
      <c r="P16" s="162">
        <v>1155</v>
      </c>
      <c r="Q16" s="165">
        <f t="shared" si="0"/>
        <v>0.42504600064942089</v>
      </c>
      <c r="R16" s="166">
        <f t="shared" si="4"/>
        <v>427.77777777777777</v>
      </c>
      <c r="S16" s="167">
        <f t="shared" si="1"/>
        <v>0.404782852590854</v>
      </c>
      <c r="T16" s="167">
        <f t="shared" si="2"/>
        <v>0.30574080625693295</v>
      </c>
      <c r="U16" s="166">
        <f t="shared" si="3"/>
        <v>210</v>
      </c>
    </row>
    <row r="17" spans="1:21" ht="16.95" customHeight="1" thickBot="1" x14ac:dyDescent="0.45">
      <c r="A17" s="145"/>
      <c r="B17" s="145"/>
      <c r="C17" s="190" t="s">
        <v>281</v>
      </c>
      <c r="D17" s="191"/>
      <c r="E17" s="191"/>
      <c r="F17" s="192" t="s">
        <v>282</v>
      </c>
      <c r="G17" s="193">
        <f>IF(F17="ON",1,0)</f>
        <v>1</v>
      </c>
      <c r="H17" s="149"/>
      <c r="I17" s="149"/>
      <c r="J17" s="149"/>
      <c r="K17" s="149"/>
      <c r="L17" s="149"/>
      <c r="M17" s="162" t="s">
        <v>283</v>
      </c>
      <c r="N17" s="194" t="s">
        <v>284</v>
      </c>
      <c r="O17" s="164">
        <v>1.3</v>
      </c>
      <c r="P17" s="162">
        <f>P8*2</f>
        <v>16.600000000000001</v>
      </c>
      <c r="Q17" s="165">
        <f t="shared" si="0"/>
        <v>6.1088862430999031E-3</v>
      </c>
      <c r="R17" s="166">
        <f t="shared" si="4"/>
        <v>12.76923076923077</v>
      </c>
      <c r="S17" s="167">
        <f t="shared" si="1"/>
        <v>1.208282880660811E-2</v>
      </c>
      <c r="T17" s="167">
        <f t="shared" si="2"/>
        <v>9.1264088820750822E-3</v>
      </c>
      <c r="U17" s="166">
        <f t="shared" si="3"/>
        <v>3.0181818181818185</v>
      </c>
    </row>
    <row r="18" spans="1:21" ht="16.95" customHeight="1" thickBot="1" x14ac:dyDescent="0.45">
      <c r="A18" s="145"/>
      <c r="B18" s="145"/>
      <c r="C18" s="195" t="s">
        <v>285</v>
      </c>
      <c r="D18" s="191"/>
      <c r="E18" s="191"/>
      <c r="F18" s="196" t="s">
        <v>282</v>
      </c>
      <c r="G18" s="193">
        <f>IF(F18="ON",1,0)</f>
        <v>1</v>
      </c>
      <c r="H18" s="149"/>
      <c r="I18" s="149"/>
      <c r="J18" s="149"/>
      <c r="K18" s="149"/>
      <c r="L18" s="149"/>
      <c r="M18" s="162" t="s">
        <v>286</v>
      </c>
      <c r="N18" s="162" t="s">
        <v>287</v>
      </c>
      <c r="O18" s="164">
        <v>2.54</v>
      </c>
      <c r="P18" s="197">
        <f>S26</f>
        <v>869.55294117647077</v>
      </c>
      <c r="Q18" s="165">
        <f t="shared" si="0"/>
        <v>0.32000000000000006</v>
      </c>
      <c r="R18" s="166">
        <f t="shared" si="4"/>
        <v>342.34367762853179</v>
      </c>
      <c r="S18" s="167"/>
      <c r="T18" s="167">
        <f>R18/$R$21</f>
        <v>0.2446794514638955</v>
      </c>
      <c r="U18" s="166">
        <f t="shared" si="3"/>
        <v>158.10053475935831</v>
      </c>
    </row>
    <row r="19" spans="1:21" ht="16.95" customHeight="1" x14ac:dyDescent="0.4">
      <c r="A19" s="149"/>
      <c r="B19" s="145"/>
      <c r="C19" s="149"/>
      <c r="D19" s="149"/>
      <c r="E19" s="149"/>
      <c r="F19" s="149"/>
      <c r="G19" s="149"/>
      <c r="H19" s="149"/>
      <c r="I19" s="149"/>
      <c r="J19" s="149"/>
      <c r="K19" s="149"/>
      <c r="L19" s="149"/>
      <c r="M19" s="145"/>
      <c r="N19" s="145"/>
      <c r="O19" s="148"/>
      <c r="P19" s="145"/>
      <c r="Q19" s="145"/>
      <c r="R19" s="145"/>
      <c r="S19" s="145"/>
      <c r="T19" s="145"/>
      <c r="U19" s="145"/>
    </row>
    <row r="20" spans="1:21" ht="16.95" customHeight="1" x14ac:dyDescent="0.4">
      <c r="A20" s="198"/>
      <c r="B20" s="145"/>
      <c r="C20" s="779" t="s">
        <v>288</v>
      </c>
      <c r="D20" s="779"/>
      <c r="E20" s="779"/>
      <c r="F20" s="199">
        <f>F12*1*(F10/1000)</f>
        <v>4408.2</v>
      </c>
      <c r="G20" s="187" t="s">
        <v>289</v>
      </c>
      <c r="H20" s="200">
        <f>F10/1000</f>
        <v>0.93</v>
      </c>
      <c r="I20" s="201" t="s">
        <v>290</v>
      </c>
      <c r="J20" s="149"/>
      <c r="K20" s="149"/>
      <c r="L20" s="149"/>
      <c r="M20" s="787" t="s">
        <v>291</v>
      </c>
      <c r="N20" s="787"/>
      <c r="O20" s="202">
        <f>O5*S5+O6*S6+O7*S7+O8*S8+O9*S9+O10*S10+O11*S11+O12*S12+O13*S13+O14*S14+O15*S15+O16*S16+O17*S17</f>
        <v>1.7484726740666026</v>
      </c>
      <c r="P20" s="203">
        <f>SUM(P5:P17)</f>
        <v>1847.8</v>
      </c>
      <c r="Q20" s="165">
        <f>P20/$P$21</f>
        <v>0.67999999999999994</v>
      </c>
      <c r="R20" s="166">
        <f>SUM(R5:R17)</f>
        <v>1056.8080516250686</v>
      </c>
      <c r="S20" s="167">
        <f>R20/$R$20</f>
        <v>1</v>
      </c>
      <c r="T20" s="167"/>
      <c r="U20" s="166">
        <f>P20/$U$2*100</f>
        <v>335.9636363636364</v>
      </c>
    </row>
    <row r="21" spans="1:21" ht="16.95" customHeight="1" x14ac:dyDescent="0.4">
      <c r="A21" s="198"/>
      <c r="B21" s="149"/>
      <c r="C21" s="149"/>
      <c r="D21" s="149"/>
      <c r="E21" s="149"/>
      <c r="F21" s="149"/>
      <c r="G21" s="149"/>
      <c r="H21" s="149"/>
      <c r="I21" s="149"/>
      <c r="J21" s="149"/>
      <c r="K21" s="149"/>
      <c r="L21" s="149"/>
      <c r="M21" s="787" t="s">
        <v>292</v>
      </c>
      <c r="N21" s="787"/>
      <c r="O21" s="204">
        <f>O5*T5+O6*T6+O7*T7+O8*T8+O9*T9+O10*T10+O11*T11+O12*T12+O13*T13+O14*T14+O15*T15+O16*T16+O17*T17+O18*T18</f>
        <v>1.9421431459946703</v>
      </c>
      <c r="P21" s="205">
        <f>SUM(P5:P18)</f>
        <v>2717.3529411764707</v>
      </c>
      <c r="Q21" s="206">
        <f>P21/$P$21</f>
        <v>1</v>
      </c>
      <c r="R21" s="207">
        <f>SUM(R5:R18)</f>
        <v>1399.1517292536005</v>
      </c>
      <c r="S21" s="155"/>
      <c r="T21" s="208">
        <f>SUM(T5:T18)</f>
        <v>0.99999999999999989</v>
      </c>
      <c r="U21" s="207">
        <f>SUM(U5:U18)</f>
        <v>494.06417112299471</v>
      </c>
    </row>
    <row r="22" spans="1:21" ht="16.95" customHeight="1" x14ac:dyDescent="0.4">
      <c r="A22" s="198"/>
      <c r="B22" s="145"/>
      <c r="C22" s="155" t="s">
        <v>293</v>
      </c>
      <c r="D22" s="155"/>
      <c r="E22" s="155"/>
      <c r="F22" s="209">
        <f>F20*F13</f>
        <v>1410.624</v>
      </c>
      <c r="G22" s="187" t="s">
        <v>294</v>
      </c>
      <c r="H22" s="184"/>
      <c r="I22" s="149"/>
      <c r="J22" s="149"/>
      <c r="K22" s="149"/>
      <c r="L22" s="149"/>
      <c r="M22" s="145"/>
      <c r="N22" s="145"/>
      <c r="O22" s="145"/>
      <c r="P22" s="145"/>
      <c r="Q22" s="145"/>
      <c r="R22" s="145"/>
      <c r="S22" s="145"/>
      <c r="T22" s="145"/>
      <c r="U22" s="145"/>
    </row>
    <row r="23" spans="1:21" ht="16.95" customHeight="1" x14ac:dyDescent="0.4">
      <c r="A23" s="198"/>
      <c r="B23" s="145"/>
      <c r="C23" s="174" t="s">
        <v>276</v>
      </c>
      <c r="D23" s="175"/>
      <c r="E23" s="176"/>
      <c r="F23" s="209">
        <f>F20-F22</f>
        <v>2997.576</v>
      </c>
      <c r="G23" s="187" t="s">
        <v>295</v>
      </c>
      <c r="H23" s="184"/>
      <c r="I23" s="149"/>
      <c r="J23" s="149"/>
      <c r="K23" s="149"/>
      <c r="L23" s="149"/>
      <c r="M23" s="145"/>
      <c r="N23" s="145"/>
      <c r="O23" s="145"/>
      <c r="P23" s="145"/>
      <c r="Q23" s="145"/>
      <c r="R23" s="145"/>
      <c r="S23" s="145"/>
      <c r="T23" s="145"/>
      <c r="U23" s="145"/>
    </row>
    <row r="24" spans="1:21" ht="16.95" customHeight="1" x14ac:dyDescent="0.4">
      <c r="A24" s="198"/>
      <c r="B24" s="145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5"/>
      <c r="N24" s="145"/>
      <c r="O24" s="145"/>
      <c r="P24" s="145"/>
      <c r="Q24" s="145"/>
      <c r="R24" s="145"/>
      <c r="S24" s="145"/>
      <c r="T24" s="145"/>
      <c r="U24" s="145"/>
    </row>
    <row r="25" spans="1:21" ht="16.95" customHeight="1" x14ac:dyDescent="0.4">
      <c r="A25" s="198"/>
      <c r="B25" s="145"/>
      <c r="C25" s="775" t="s">
        <v>296</v>
      </c>
      <c r="D25" s="775"/>
      <c r="E25" s="775"/>
      <c r="F25" s="210">
        <f>F12/25</f>
        <v>189.6</v>
      </c>
      <c r="G25" s="211" t="s">
        <v>297</v>
      </c>
      <c r="H25" s="149"/>
      <c r="I25" s="149"/>
      <c r="J25" s="149"/>
      <c r="K25" s="149"/>
      <c r="L25" s="149"/>
      <c r="M25" s="145"/>
      <c r="N25" s="145"/>
      <c r="O25" s="151"/>
      <c r="P25" s="145"/>
      <c r="Q25" s="155" t="s">
        <v>298</v>
      </c>
      <c r="R25" s="212">
        <f>100%-R26</f>
        <v>0.67999999999999994</v>
      </c>
      <c r="S25" s="213">
        <f>P20</f>
        <v>1847.8</v>
      </c>
      <c r="T25" s="214"/>
      <c r="U25" s="145"/>
    </row>
    <row r="26" spans="1:21" ht="16.95" customHeight="1" x14ac:dyDescent="0.4">
      <c r="A26" s="198"/>
      <c r="B26" s="145"/>
      <c r="C26" s="775" t="s">
        <v>299</v>
      </c>
      <c r="D26" s="775"/>
      <c r="E26" s="775"/>
      <c r="F26" s="210">
        <f>F25*F13</f>
        <v>60.671999999999997</v>
      </c>
      <c r="G26" s="211" t="s">
        <v>297</v>
      </c>
      <c r="H26" s="149"/>
      <c r="I26" s="149"/>
      <c r="J26" s="149"/>
      <c r="K26" s="149"/>
      <c r="L26" s="149"/>
      <c r="M26" s="145"/>
      <c r="N26" s="145"/>
      <c r="O26" s="148"/>
      <c r="P26" s="145"/>
      <c r="Q26" s="155" t="s">
        <v>300</v>
      </c>
      <c r="R26" s="212">
        <f>F13</f>
        <v>0.32</v>
      </c>
      <c r="S26" s="166">
        <f>S25*R26/R25</f>
        <v>869.55294117647077</v>
      </c>
      <c r="T26" s="215"/>
      <c r="U26" s="145"/>
    </row>
    <row r="27" spans="1:21" ht="16.95" customHeight="1" x14ac:dyDescent="0.4">
      <c r="A27" s="198"/>
      <c r="B27" s="145"/>
      <c r="C27" s="775" t="s">
        <v>301</v>
      </c>
      <c r="D27" s="775"/>
      <c r="E27" s="775"/>
      <c r="F27" s="210">
        <f>F25-F26</f>
        <v>128.928</v>
      </c>
      <c r="G27" s="211" t="s">
        <v>297</v>
      </c>
      <c r="H27" s="147"/>
      <c r="I27" s="145"/>
      <c r="J27" s="145"/>
      <c r="K27" s="145"/>
      <c r="L27" s="145"/>
      <c r="M27" s="145"/>
      <c r="N27" s="145"/>
      <c r="O27" s="148"/>
      <c r="P27" s="145"/>
      <c r="Q27" s="145"/>
      <c r="R27" s="145"/>
      <c r="S27" s="145"/>
      <c r="T27" s="145"/>
      <c r="U27" s="145"/>
    </row>
    <row r="28" spans="1:21" ht="16.95" customHeight="1" thickBot="1" x14ac:dyDescent="0.45">
      <c r="A28" s="198"/>
      <c r="B28" s="145"/>
      <c r="C28" s="156"/>
      <c r="D28" s="145"/>
      <c r="E28" s="145"/>
      <c r="F28" s="216"/>
      <c r="G28" s="145"/>
      <c r="H28" s="147"/>
      <c r="I28" s="145"/>
      <c r="J28" s="145"/>
      <c r="K28" s="145"/>
      <c r="L28" s="145"/>
      <c r="M28" s="145"/>
      <c r="N28" s="145"/>
      <c r="O28" s="148"/>
      <c r="P28" s="145"/>
      <c r="Q28" s="145"/>
      <c r="R28" s="145"/>
      <c r="S28" s="145"/>
      <c r="T28" s="145"/>
      <c r="U28" s="145"/>
    </row>
    <row r="29" spans="1:21" ht="16.95" customHeight="1" x14ac:dyDescent="0.4">
      <c r="A29" s="198"/>
      <c r="B29" s="217" t="s">
        <v>302</v>
      </c>
      <c r="C29" s="218"/>
      <c r="D29" s="219"/>
      <c r="E29" s="218"/>
      <c r="F29" s="220" t="s">
        <v>282</v>
      </c>
      <c r="G29" s="221">
        <f>IF(F29="ON",1,0)</f>
        <v>1</v>
      </c>
      <c r="H29" s="222"/>
      <c r="I29" s="223"/>
      <c r="J29" s="223"/>
      <c r="K29" s="224"/>
      <c r="L29" s="173"/>
      <c r="M29" s="145"/>
      <c r="N29" s="145"/>
      <c r="O29" s="148"/>
      <c r="P29" s="145"/>
      <c r="Q29" s="145"/>
      <c r="R29" s="145"/>
      <c r="S29" s="145"/>
      <c r="T29" s="145"/>
      <c r="U29" s="145"/>
    </row>
    <row r="30" spans="1:21" ht="16.95" customHeight="1" x14ac:dyDescent="0.4">
      <c r="A30" s="198"/>
      <c r="B30" s="225"/>
      <c r="C30" s="156" t="s">
        <v>303</v>
      </c>
      <c r="D30" s="226">
        <v>4800</v>
      </c>
      <c r="E30" s="156" t="s">
        <v>304</v>
      </c>
      <c r="F30" s="157">
        <f>D30</f>
        <v>4800</v>
      </c>
      <c r="G30" s="156" t="s">
        <v>305</v>
      </c>
      <c r="H30" s="147" t="s">
        <v>306</v>
      </c>
      <c r="I30" s="227">
        <f>1000*100*10</f>
        <v>1000000</v>
      </c>
      <c r="J30" s="147" t="s">
        <v>259</v>
      </c>
      <c r="K30" s="228"/>
      <c r="L30" s="147"/>
      <c r="M30" s="145"/>
      <c r="N30" s="145"/>
      <c r="O30" s="148"/>
      <c r="P30" s="145"/>
      <c r="Q30" s="145"/>
      <c r="R30" s="145"/>
      <c r="S30" s="145"/>
      <c r="T30" s="145"/>
      <c r="U30" s="145"/>
    </row>
    <row r="31" spans="1:21" ht="16.95" customHeight="1" x14ac:dyDescent="0.4">
      <c r="A31" s="198"/>
      <c r="B31" s="225"/>
      <c r="C31" s="156" t="s">
        <v>307</v>
      </c>
      <c r="D31" s="226">
        <v>1</v>
      </c>
      <c r="E31" s="156" t="s">
        <v>308</v>
      </c>
      <c r="F31" s="229">
        <f>F30*I31/I30</f>
        <v>0.12192</v>
      </c>
      <c r="G31" s="156" t="s">
        <v>297</v>
      </c>
      <c r="H31" s="147" t="s">
        <v>306</v>
      </c>
      <c r="I31" s="147">
        <f>25.4*D31</f>
        <v>25.4</v>
      </c>
      <c r="J31" s="147" t="s">
        <v>259</v>
      </c>
      <c r="K31" s="228"/>
      <c r="L31" s="147"/>
      <c r="M31" s="145"/>
      <c r="N31" s="145"/>
      <c r="O31" s="148"/>
      <c r="P31" s="145"/>
      <c r="Q31" s="145"/>
      <c r="R31" s="145"/>
      <c r="S31" s="145"/>
      <c r="T31" s="145"/>
      <c r="U31" s="145"/>
    </row>
    <row r="32" spans="1:21" ht="16.95" customHeight="1" x14ac:dyDescent="0.4">
      <c r="A32" s="145"/>
      <c r="B32" s="225"/>
      <c r="C32" s="156" t="s">
        <v>309</v>
      </c>
      <c r="D32" s="146"/>
      <c r="E32" s="156"/>
      <c r="F32" s="161">
        <v>24</v>
      </c>
      <c r="G32" s="156" t="s">
        <v>310</v>
      </c>
      <c r="H32" s="147"/>
      <c r="I32" s="145"/>
      <c r="J32" s="145"/>
      <c r="K32" s="230"/>
      <c r="L32" s="145"/>
      <c r="M32" s="145"/>
      <c r="N32" s="145"/>
      <c r="O32" s="148"/>
      <c r="P32" s="145"/>
      <c r="Q32" s="145"/>
      <c r="R32" s="145"/>
      <c r="S32" s="145"/>
      <c r="T32" s="145"/>
      <c r="U32" s="145"/>
    </row>
    <row r="33" spans="2:12" ht="16.95" customHeight="1" thickBot="1" x14ac:dyDescent="0.45">
      <c r="B33" s="231"/>
      <c r="C33" s="232" t="s">
        <v>311</v>
      </c>
      <c r="D33" s="232"/>
      <c r="E33" s="232"/>
      <c r="F33" s="233">
        <v>19</v>
      </c>
      <c r="G33" s="234" t="s">
        <v>312</v>
      </c>
      <c r="H33" s="235"/>
      <c r="I33" s="232"/>
      <c r="J33" s="232"/>
      <c r="K33" s="236"/>
      <c r="L33" s="145"/>
    </row>
    <row r="34" spans="2:12" ht="16.95" customHeight="1" x14ac:dyDescent="0.4">
      <c r="B34" s="217" t="s">
        <v>313</v>
      </c>
      <c r="C34" s="218"/>
      <c r="D34" s="219"/>
      <c r="E34" s="218"/>
      <c r="F34" s="220" t="s">
        <v>282</v>
      </c>
      <c r="G34" s="221">
        <f>IF(F34="ON",1,0)</f>
        <v>1</v>
      </c>
      <c r="H34" s="222"/>
      <c r="I34" s="223"/>
      <c r="J34" s="223"/>
      <c r="K34" s="224"/>
      <c r="L34" s="173"/>
    </row>
    <row r="35" spans="2:12" ht="16.95" customHeight="1" x14ac:dyDescent="0.4">
      <c r="B35" s="225"/>
      <c r="C35" s="156" t="s">
        <v>315</v>
      </c>
      <c r="D35" s="226">
        <v>2400</v>
      </c>
      <c r="E35" s="156" t="s">
        <v>304</v>
      </c>
      <c r="F35" s="157">
        <f>D35</f>
        <v>2400</v>
      </c>
      <c r="G35" s="156" t="s">
        <v>297</v>
      </c>
      <c r="H35" s="147" t="s">
        <v>316</v>
      </c>
      <c r="I35" s="227">
        <f>1000*100*10</f>
        <v>1000000</v>
      </c>
      <c r="J35" s="147" t="s">
        <v>317</v>
      </c>
      <c r="K35" s="228"/>
      <c r="L35" s="147"/>
    </row>
    <row r="36" spans="2:12" ht="16.95" customHeight="1" x14ac:dyDescent="0.4">
      <c r="B36" s="225"/>
      <c r="C36" s="156" t="s">
        <v>318</v>
      </c>
      <c r="D36" s="226">
        <v>1</v>
      </c>
      <c r="E36" s="156" t="s">
        <v>319</v>
      </c>
      <c r="F36" s="229">
        <f>F35*I36/I35</f>
        <v>6.096E-2</v>
      </c>
      <c r="G36" s="156" t="s">
        <v>305</v>
      </c>
      <c r="H36" s="147" t="s">
        <v>316</v>
      </c>
      <c r="I36" s="147">
        <f>25.4*D36</f>
        <v>25.4</v>
      </c>
      <c r="J36" s="147" t="s">
        <v>317</v>
      </c>
      <c r="K36" s="228"/>
      <c r="L36" s="147"/>
    </row>
    <row r="37" spans="2:12" ht="16.95" customHeight="1" x14ac:dyDescent="0.4">
      <c r="B37" s="225"/>
      <c r="C37" s="156" t="s">
        <v>320</v>
      </c>
      <c r="D37" s="146"/>
      <c r="E37" s="156"/>
      <c r="F37" s="161">
        <v>36</v>
      </c>
      <c r="G37" s="156" t="s">
        <v>321</v>
      </c>
      <c r="H37" s="147"/>
      <c r="I37" s="145"/>
      <c r="J37" s="145"/>
      <c r="K37" s="230"/>
      <c r="L37" s="145"/>
    </row>
    <row r="38" spans="2:12" ht="16.95" customHeight="1" thickBot="1" x14ac:dyDescent="0.45">
      <c r="B38" s="231"/>
      <c r="C38" s="232" t="s">
        <v>322</v>
      </c>
      <c r="D38" s="232"/>
      <c r="E38" s="232"/>
      <c r="F38" s="233">
        <v>20</v>
      </c>
      <c r="G38" s="234" t="s">
        <v>323</v>
      </c>
      <c r="H38" s="235"/>
      <c r="I38" s="232"/>
      <c r="J38" s="232"/>
      <c r="K38" s="236"/>
      <c r="L38" s="145"/>
    </row>
    <row r="39" spans="2:12" ht="16.95" customHeight="1" thickBot="1" x14ac:dyDescent="0.45">
      <c r="B39" s="237" t="s">
        <v>324</v>
      </c>
      <c r="C39" s="238"/>
      <c r="D39" s="239"/>
      <c r="E39" s="238"/>
      <c r="F39" s="240" t="s">
        <v>314</v>
      </c>
      <c r="G39" s="241">
        <f>IF(F39="ON",1,0)</f>
        <v>0</v>
      </c>
      <c r="H39" s="242"/>
      <c r="I39" s="243"/>
      <c r="J39" s="243"/>
      <c r="K39" s="244"/>
      <c r="L39" s="173"/>
    </row>
    <row r="40" spans="2:12" ht="16.95" hidden="1" customHeight="1" x14ac:dyDescent="0.4">
      <c r="B40" s="145"/>
      <c r="C40" s="156" t="s">
        <v>325</v>
      </c>
      <c r="D40" s="245">
        <v>4800</v>
      </c>
      <c r="E40" s="156" t="s">
        <v>304</v>
      </c>
      <c r="F40" s="157">
        <f>D40</f>
        <v>4800</v>
      </c>
      <c r="G40" s="156" t="s">
        <v>297</v>
      </c>
      <c r="H40" s="147" t="s">
        <v>306</v>
      </c>
      <c r="I40" s="227">
        <f>1000*100*10</f>
        <v>1000000</v>
      </c>
      <c r="J40" s="147" t="s">
        <v>259</v>
      </c>
      <c r="K40" s="147"/>
      <c r="L40" s="147"/>
    </row>
    <row r="41" spans="2:12" ht="16.95" hidden="1" customHeight="1" x14ac:dyDescent="0.4">
      <c r="B41" s="145"/>
      <c r="C41" s="156" t="s">
        <v>326</v>
      </c>
      <c r="D41" s="246">
        <v>48</v>
      </c>
      <c r="E41" s="156" t="s">
        <v>327</v>
      </c>
      <c r="F41" s="229">
        <f>F40*I41/I40</f>
        <v>4.8</v>
      </c>
      <c r="G41" s="156" t="s">
        <v>328</v>
      </c>
      <c r="H41" s="147" t="s">
        <v>329</v>
      </c>
      <c r="I41" s="147">
        <f>1000</f>
        <v>1000</v>
      </c>
      <c r="J41" s="147" t="s">
        <v>317</v>
      </c>
      <c r="K41" s="147"/>
      <c r="L41" s="147"/>
    </row>
    <row r="42" spans="2:12" ht="16.95" hidden="1" customHeight="1" thickBot="1" x14ac:dyDescent="0.45">
      <c r="B42" s="145"/>
      <c r="C42" s="156"/>
      <c r="D42" s="156"/>
      <c r="E42" s="156"/>
      <c r="F42" s="229"/>
      <c r="G42" s="156"/>
      <c r="H42" s="147"/>
      <c r="I42" s="147"/>
      <c r="J42" s="147"/>
      <c r="K42" s="147"/>
      <c r="L42" s="147"/>
    </row>
    <row r="43" spans="2:12" ht="16.95" customHeight="1" thickBot="1" x14ac:dyDescent="0.45">
      <c r="B43" s="237" t="s">
        <v>330</v>
      </c>
      <c r="C43" s="238"/>
      <c r="D43" s="239"/>
      <c r="E43" s="238"/>
      <c r="F43" s="240" t="s">
        <v>314</v>
      </c>
      <c r="G43" s="241">
        <f>IF(F43="ON",1,0)</f>
        <v>0</v>
      </c>
      <c r="H43" s="242"/>
      <c r="I43" s="243"/>
      <c r="J43" s="243"/>
      <c r="K43" s="244"/>
      <c r="L43" s="173"/>
    </row>
    <row r="44" spans="2:12" ht="16.95" hidden="1" customHeight="1" x14ac:dyDescent="0.4">
      <c r="B44" s="225"/>
      <c r="C44" s="145" t="s">
        <v>330</v>
      </c>
      <c r="D44" s="247">
        <v>580</v>
      </c>
      <c r="E44" s="147" t="s">
        <v>331</v>
      </c>
      <c r="F44" s="147">
        <f>D44</f>
        <v>580</v>
      </c>
      <c r="G44" s="156" t="s">
        <v>332</v>
      </c>
      <c r="H44" s="147" t="s">
        <v>329</v>
      </c>
      <c r="I44" s="147">
        <f>1000</f>
        <v>1000</v>
      </c>
      <c r="J44" s="147" t="s">
        <v>333</v>
      </c>
      <c r="K44" s="230"/>
      <c r="L44" s="145"/>
    </row>
    <row r="45" spans="2:12" ht="16.95" hidden="1" customHeight="1" thickBot="1" x14ac:dyDescent="0.45">
      <c r="B45" s="231"/>
      <c r="C45" s="232"/>
      <c r="D45" s="232"/>
      <c r="E45" s="235"/>
      <c r="F45" s="235"/>
      <c r="G45" s="235"/>
      <c r="H45" s="235"/>
      <c r="I45" s="232"/>
      <c r="J45" s="232"/>
      <c r="K45" s="236"/>
      <c r="L45" s="145"/>
    </row>
    <row r="46" spans="2:12" ht="16.95" customHeight="1" x14ac:dyDescent="0.4">
      <c r="B46" s="145"/>
      <c r="C46" s="145"/>
      <c r="D46" s="145"/>
      <c r="E46" s="145"/>
      <c r="F46" s="248"/>
      <c r="G46" s="156"/>
      <c r="H46" s="147"/>
      <c r="I46" s="145"/>
      <c r="J46" s="145"/>
      <c r="K46" s="145"/>
      <c r="L46" s="145"/>
    </row>
    <row r="47" spans="2:12" ht="16.95" customHeight="1" x14ac:dyDescent="0.4">
      <c r="B47" s="145"/>
      <c r="C47" s="779" t="s">
        <v>334</v>
      </c>
      <c r="D47" s="779"/>
      <c r="E47" s="779"/>
      <c r="F47" s="249">
        <f>IF(G29=0,0,IF(G34=1,(F22-F49-F50)/2,(F22-F49-F50)))</f>
        <v>705.31200000000001</v>
      </c>
      <c r="G47" s="250" t="s">
        <v>332</v>
      </c>
      <c r="H47" s="189" t="s">
        <v>329</v>
      </c>
      <c r="I47" s="155" t="s">
        <v>335</v>
      </c>
      <c r="J47" s="251">
        <f>F47/F20</f>
        <v>0.16</v>
      </c>
      <c r="K47" s="145"/>
      <c r="L47" s="145"/>
    </row>
    <row r="48" spans="2:12" ht="16.95" customHeight="1" x14ac:dyDescent="0.4">
      <c r="B48" s="145"/>
      <c r="C48" s="779" t="s">
        <v>336</v>
      </c>
      <c r="D48" s="779"/>
      <c r="E48" s="779"/>
      <c r="F48" s="249">
        <f>IF(G34=0,0,IF(G29=1,(F22-F49-F50)/2,F22-F49-F50))</f>
        <v>705.31200000000001</v>
      </c>
      <c r="G48" s="250" t="s">
        <v>332</v>
      </c>
      <c r="H48" s="189" t="s">
        <v>329</v>
      </c>
      <c r="I48" s="155" t="s">
        <v>335</v>
      </c>
      <c r="J48" s="145"/>
      <c r="K48" s="145"/>
      <c r="L48" s="145"/>
    </row>
    <row r="49" spans="1:32" ht="16.95" customHeight="1" x14ac:dyDescent="0.4">
      <c r="A49" s="145"/>
      <c r="B49" s="145"/>
      <c r="C49" s="779" t="s">
        <v>337</v>
      </c>
      <c r="D49" s="779"/>
      <c r="E49" s="779"/>
      <c r="F49" s="249">
        <f>IF(G39=0,0,F41*D41)</f>
        <v>0</v>
      </c>
      <c r="G49" s="250" t="s">
        <v>332</v>
      </c>
      <c r="H49" s="189" t="s">
        <v>329</v>
      </c>
      <c r="I49" s="155" t="s">
        <v>335</v>
      </c>
      <c r="J49" s="251">
        <f>F49/F20</f>
        <v>0</v>
      </c>
      <c r="K49" s="145"/>
      <c r="L49" s="145"/>
      <c r="M49" s="145"/>
      <c r="N49" s="145"/>
      <c r="O49" s="148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  <c r="AA49" s="145"/>
      <c r="AB49" s="145"/>
      <c r="AC49" s="145"/>
      <c r="AD49" s="145"/>
      <c r="AE49" s="145"/>
      <c r="AF49" s="145"/>
    </row>
    <row r="50" spans="1:32" ht="16.95" customHeight="1" x14ac:dyDescent="0.4">
      <c r="A50" s="145"/>
      <c r="B50" s="145"/>
      <c r="C50" s="779" t="s">
        <v>338</v>
      </c>
      <c r="D50" s="779"/>
      <c r="E50" s="779"/>
      <c r="F50" s="249">
        <f>IF(G43=0,0,F44)</f>
        <v>0</v>
      </c>
      <c r="G50" s="250" t="s">
        <v>332</v>
      </c>
      <c r="H50" s="189" t="s">
        <v>329</v>
      </c>
      <c r="I50" s="155" t="s">
        <v>339</v>
      </c>
      <c r="J50" s="145"/>
      <c r="K50" s="145"/>
      <c r="L50" s="145"/>
      <c r="M50" s="145"/>
      <c r="N50" s="145"/>
      <c r="O50" s="148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  <c r="AA50" s="145"/>
      <c r="AB50" s="145"/>
      <c r="AC50" s="145"/>
      <c r="AD50" s="145"/>
      <c r="AE50" s="145"/>
      <c r="AF50" s="145"/>
    </row>
    <row r="51" spans="1:32" ht="16.95" customHeight="1" x14ac:dyDescent="0.4">
      <c r="A51" s="145"/>
      <c r="B51" s="252"/>
      <c r="C51" s="155" t="s">
        <v>340</v>
      </c>
      <c r="D51" s="155"/>
      <c r="E51" s="155"/>
      <c r="F51" s="249">
        <f>F48+F47+F49+F50</f>
        <v>1410.624</v>
      </c>
      <c r="G51" s="250" t="s">
        <v>332</v>
      </c>
      <c r="H51" s="189" t="s">
        <v>316</v>
      </c>
      <c r="I51" s="155" t="s">
        <v>335</v>
      </c>
      <c r="J51" s="145"/>
      <c r="K51" s="145"/>
      <c r="L51" s="145"/>
      <c r="M51" s="145"/>
      <c r="N51" s="145"/>
      <c r="O51" s="148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  <c r="AA51" s="145"/>
      <c r="AB51" s="145">
        <f>AF56/(AC56*AD56*AB56)*1000</f>
        <v>0.21628539433690611</v>
      </c>
      <c r="AC51" s="145" t="s">
        <v>341</v>
      </c>
      <c r="AD51" s="145">
        <f>AB51*10</f>
        <v>2.1628539433690612</v>
      </c>
      <c r="AE51" s="145"/>
      <c r="AF51" s="145"/>
    </row>
    <row r="52" spans="1:32" ht="16.95" customHeight="1" x14ac:dyDescent="0.4">
      <c r="A52" s="145"/>
      <c r="B52" s="252"/>
      <c r="C52" s="156"/>
      <c r="D52" s="156"/>
      <c r="E52" s="156"/>
      <c r="F52" s="248"/>
      <c r="G52" s="147"/>
      <c r="H52" s="147"/>
      <c r="I52" s="145"/>
      <c r="J52" s="145"/>
      <c r="K52" s="145"/>
      <c r="L52" s="145"/>
      <c r="M52" s="145"/>
      <c r="N52" s="145"/>
      <c r="O52" s="148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5"/>
      <c r="AA52" s="145"/>
      <c r="AB52" s="145"/>
      <c r="AC52" s="145"/>
      <c r="AD52" s="145"/>
      <c r="AE52" s="145"/>
      <c r="AF52" s="145"/>
    </row>
    <row r="53" spans="1:32" ht="16.95" customHeight="1" x14ac:dyDescent="0.4">
      <c r="A53" s="198"/>
      <c r="B53" s="252"/>
      <c r="C53" s="156"/>
      <c r="D53" s="145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8"/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45"/>
      <c r="AA53" s="145"/>
      <c r="AB53" s="145"/>
      <c r="AC53" s="145"/>
      <c r="AD53" s="145"/>
      <c r="AE53" s="145"/>
      <c r="AF53" s="145"/>
    </row>
    <row r="54" spans="1:32" ht="16.95" customHeight="1" x14ac:dyDescent="0.4">
      <c r="A54" s="145"/>
      <c r="B54" s="156"/>
      <c r="C54" s="253" t="s">
        <v>342</v>
      </c>
      <c r="D54" s="254"/>
      <c r="E54" s="255"/>
      <c r="F54" s="256">
        <f>IF(G17=0,0,IF(G18=1,((F23/1000)/(F10*(F8/1000))+F9*2)/2,(F23/1000)/(F10*(F8/1000))+F9*2))</f>
        <v>0.96171872280493598</v>
      </c>
      <c r="G54" s="788" t="s">
        <v>343</v>
      </c>
      <c r="H54" s="789"/>
      <c r="I54" s="145"/>
      <c r="J54" s="215">
        <f>(F23/(F8/(F10/1000000)))/2</f>
        <v>0.7971945233539891</v>
      </c>
      <c r="K54" s="145"/>
      <c r="L54" s="145"/>
      <c r="M54" s="155" t="s">
        <v>344</v>
      </c>
      <c r="N54" s="155" t="s">
        <v>345</v>
      </c>
      <c r="O54" s="155" t="s">
        <v>346</v>
      </c>
      <c r="P54" s="257" t="s">
        <v>347</v>
      </c>
      <c r="Q54" s="145"/>
      <c r="R54" s="145"/>
      <c r="S54" s="145"/>
      <c r="T54" s="145"/>
      <c r="U54" s="145"/>
      <c r="V54" s="145"/>
      <c r="W54" s="145" t="s">
        <v>348</v>
      </c>
      <c r="X54" s="145"/>
      <c r="Y54" s="145"/>
      <c r="Z54" s="145"/>
      <c r="AA54" s="145"/>
      <c r="AB54" s="145"/>
      <c r="AC54" s="145"/>
      <c r="AD54" s="145"/>
      <c r="AE54" s="145"/>
      <c r="AF54" s="145"/>
    </row>
    <row r="55" spans="1:32" ht="16.95" customHeight="1" x14ac:dyDescent="0.4">
      <c r="A55" s="145"/>
      <c r="B55" s="156"/>
      <c r="C55" s="253" t="s">
        <v>349</v>
      </c>
      <c r="D55" s="254"/>
      <c r="E55" s="255"/>
      <c r="F55" s="256">
        <f>IF(G18=0,0,IF(G17=1,((F23/1000)/(F10*(F8/1000))+F9*2)/2,(F23/1000)/(F10*(F8/1000))+F9*2))</f>
        <v>0.96171872280493598</v>
      </c>
      <c r="G55" s="788" t="s">
        <v>333</v>
      </c>
      <c r="H55" s="789"/>
      <c r="I55" s="145"/>
      <c r="J55" s="215">
        <f>(F23/(F8/(F10/1000000)))/2</f>
        <v>0.7971945233539891</v>
      </c>
      <c r="K55" s="145"/>
      <c r="L55" s="145"/>
      <c r="M55" s="258">
        <v>1000</v>
      </c>
      <c r="N55" s="155">
        <v>1000</v>
      </c>
      <c r="O55" s="155">
        <v>1.3</v>
      </c>
      <c r="P55" s="257" t="s">
        <v>350</v>
      </c>
      <c r="Q55" s="145"/>
      <c r="R55" s="145">
        <v>2200</v>
      </c>
      <c r="S55" s="145"/>
      <c r="T55" s="145"/>
      <c r="U55" s="145"/>
      <c r="V55" s="145"/>
      <c r="W55" s="259">
        <f>3.38/(1.33*1.175)</f>
        <v>2.1628539433690608</v>
      </c>
      <c r="X55" s="145"/>
      <c r="Y55" s="260" t="s">
        <v>351</v>
      </c>
      <c r="Z55" s="145"/>
      <c r="AA55" s="145"/>
      <c r="AB55" s="145" t="s">
        <v>352</v>
      </c>
      <c r="AC55" s="145" t="s">
        <v>353</v>
      </c>
      <c r="AD55" s="145" t="s">
        <v>345</v>
      </c>
      <c r="AE55" s="145" t="s">
        <v>354</v>
      </c>
      <c r="AF55" s="145" t="s">
        <v>355</v>
      </c>
    </row>
    <row r="56" spans="1:32" ht="16.95" customHeight="1" x14ac:dyDescent="0.4">
      <c r="A56" s="145"/>
      <c r="B56" s="156"/>
      <c r="C56" s="145"/>
      <c r="D56" s="145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8"/>
      <c r="P56" s="145"/>
      <c r="Q56" s="145"/>
      <c r="R56" s="145"/>
      <c r="S56" s="145"/>
      <c r="T56" s="145"/>
      <c r="U56" s="145"/>
      <c r="V56" s="145"/>
      <c r="W56" s="145" t="s">
        <v>356</v>
      </c>
      <c r="X56" s="145"/>
      <c r="Y56" s="145"/>
      <c r="Z56" s="145"/>
      <c r="AA56" s="145"/>
      <c r="AB56" s="145">
        <v>1.33</v>
      </c>
      <c r="AC56" s="145">
        <v>117.5</v>
      </c>
      <c r="AD56" s="145">
        <v>100</v>
      </c>
      <c r="AE56" s="145"/>
      <c r="AF56" s="145">
        <v>3.38</v>
      </c>
    </row>
    <row r="57" spans="1:32" ht="16.95" customHeight="1" x14ac:dyDescent="0.4">
      <c r="A57" s="145"/>
      <c r="B57" s="156"/>
      <c r="C57" s="790" t="s">
        <v>357</v>
      </c>
      <c r="D57" s="790"/>
      <c r="E57" s="790"/>
      <c r="F57" s="261">
        <f>(F47*F5)/(F31*F32*F33)</f>
        <v>126.86489846663905</v>
      </c>
      <c r="G57" s="253" t="s">
        <v>358</v>
      </c>
      <c r="H57" s="262"/>
      <c r="I57" s="263"/>
      <c r="J57" s="145"/>
      <c r="K57" s="145"/>
      <c r="L57" s="145"/>
      <c r="M57" s="145">
        <f>R55/M55/N55/O55</f>
        <v>1.6923076923076924E-3</v>
      </c>
      <c r="N57" s="145" t="s">
        <v>359</v>
      </c>
      <c r="O57" s="148">
        <f>M57*1000</f>
        <v>1.6923076923076923</v>
      </c>
      <c r="P57" s="145"/>
      <c r="Q57" s="145"/>
      <c r="R57" s="145"/>
      <c r="S57" s="145"/>
      <c r="T57" s="145"/>
      <c r="U57" s="145"/>
      <c r="V57" s="145"/>
      <c r="W57" s="264">
        <f>(F23/1000)/(F10*(F8/1000))+F9*2</f>
        <v>1.923437445609872</v>
      </c>
      <c r="X57" s="145"/>
      <c r="Y57" s="145"/>
      <c r="Z57" s="145"/>
      <c r="AA57" s="145"/>
      <c r="AB57" s="214">
        <f>(F23/1000)</f>
        <v>2.997576</v>
      </c>
      <c r="AC57" s="145"/>
      <c r="AD57" s="145"/>
      <c r="AE57" s="145"/>
      <c r="AF57" s="145"/>
    </row>
    <row r="58" spans="1:32" ht="16.95" customHeight="1" x14ac:dyDescent="0.4">
      <c r="A58" s="145"/>
      <c r="B58" s="156"/>
      <c r="C58" s="790" t="s">
        <v>360</v>
      </c>
      <c r="D58" s="790"/>
      <c r="E58" s="790"/>
      <c r="F58" s="261">
        <f>(F48*F5)/(F36*F37*F38)</f>
        <v>160.69553805774279</v>
      </c>
      <c r="G58" s="253" t="s">
        <v>361</v>
      </c>
      <c r="H58" s="262"/>
      <c r="I58" s="263"/>
      <c r="J58" s="145"/>
      <c r="K58" s="145"/>
      <c r="L58" s="145"/>
      <c r="M58" s="145"/>
      <c r="N58" s="145"/>
      <c r="O58" s="148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5"/>
      <c r="AA58" s="145"/>
      <c r="AB58" s="265">
        <f>F10</f>
        <v>930</v>
      </c>
      <c r="AC58" s="145"/>
      <c r="AD58" s="145"/>
      <c r="AE58" s="145"/>
      <c r="AF58" s="145"/>
    </row>
    <row r="59" spans="1:32" x14ac:dyDescent="0.4">
      <c r="A59" s="145"/>
      <c r="B59" s="156"/>
      <c r="C59" s="145"/>
      <c r="D59" s="146"/>
      <c r="E59" s="145"/>
      <c r="F59" s="145"/>
      <c r="G59" s="145"/>
      <c r="H59" s="147"/>
      <c r="I59" s="145"/>
      <c r="J59" s="145"/>
      <c r="K59" s="145"/>
      <c r="L59" s="145"/>
      <c r="M59" s="145"/>
      <c r="N59" s="145"/>
      <c r="O59" s="148"/>
      <c r="P59" s="145"/>
      <c r="Q59" s="145"/>
      <c r="R59" s="145"/>
      <c r="S59" s="145"/>
      <c r="T59" s="145"/>
      <c r="U59" s="145"/>
      <c r="V59" s="145"/>
      <c r="W59" s="145"/>
      <c r="X59" s="145"/>
      <c r="Y59" s="145"/>
      <c r="Z59" s="145"/>
      <c r="AA59" s="145"/>
      <c r="AB59" s="145"/>
      <c r="AC59" s="145"/>
      <c r="AD59" s="145"/>
      <c r="AE59" s="145"/>
      <c r="AF59" s="145"/>
    </row>
    <row r="60" spans="1:32" hidden="1" x14ac:dyDescent="0.4">
      <c r="A60" s="145"/>
      <c r="B60" s="156"/>
      <c r="C60" s="145"/>
      <c r="D60" s="146"/>
      <c r="E60" s="145"/>
      <c r="F60" s="145"/>
      <c r="G60" s="145"/>
      <c r="H60" s="147"/>
      <c r="I60" s="145"/>
      <c r="J60" s="145"/>
      <c r="K60" s="145"/>
      <c r="L60" s="145"/>
      <c r="M60" s="145"/>
      <c r="N60" s="145"/>
      <c r="O60" s="148"/>
      <c r="P60" s="145"/>
      <c r="Q60" s="145"/>
      <c r="R60" s="145"/>
      <c r="S60" s="145"/>
      <c r="T60" s="145"/>
      <c r="U60" s="145"/>
      <c r="V60" s="145"/>
      <c r="W60" s="145"/>
      <c r="X60" s="145"/>
      <c r="Y60" s="145"/>
      <c r="Z60" s="145"/>
      <c r="AA60" s="145"/>
      <c r="AB60" s="145"/>
      <c r="AC60" s="145"/>
      <c r="AD60" s="145"/>
      <c r="AE60" s="145"/>
      <c r="AF60" s="145"/>
    </row>
    <row r="61" spans="1:32" hidden="1" x14ac:dyDescent="0.4">
      <c r="A61" s="145"/>
      <c r="B61" s="156"/>
      <c r="C61" s="145"/>
      <c r="D61" s="146"/>
      <c r="E61" s="145"/>
      <c r="F61" s="145"/>
      <c r="G61" s="145"/>
      <c r="H61" s="147"/>
      <c r="I61" s="145"/>
      <c r="J61" s="145"/>
      <c r="K61" s="145"/>
      <c r="L61" s="145"/>
      <c r="M61" s="145"/>
      <c r="N61" s="145"/>
      <c r="O61" s="148"/>
      <c r="P61" s="145"/>
      <c r="Q61" s="145"/>
      <c r="R61" s="145"/>
      <c r="S61" s="145"/>
      <c r="T61" s="145"/>
      <c r="U61" s="145"/>
      <c r="V61" s="145"/>
      <c r="W61" s="145"/>
      <c r="X61" s="145"/>
      <c r="Y61" s="145"/>
      <c r="Z61" s="145"/>
      <c r="AA61" s="145"/>
      <c r="AB61" s="145"/>
      <c r="AC61" s="145"/>
      <c r="AD61" s="145"/>
      <c r="AE61" s="145"/>
      <c r="AF61" s="145"/>
    </row>
    <row r="62" spans="1:32" hidden="1" x14ac:dyDescent="0.4">
      <c r="A62" s="145"/>
      <c r="B62" s="156"/>
      <c r="C62" s="145"/>
      <c r="D62" s="146"/>
      <c r="E62" s="145"/>
      <c r="F62" s="145"/>
      <c r="G62" s="145"/>
      <c r="H62" s="147"/>
      <c r="I62" s="145"/>
      <c r="J62" s="145"/>
      <c r="K62" s="145"/>
      <c r="L62" s="145"/>
      <c r="M62" s="145"/>
      <c r="N62" s="145"/>
      <c r="O62" s="148"/>
      <c r="P62" s="145"/>
      <c r="Q62" s="145"/>
      <c r="R62" s="145"/>
      <c r="S62" s="145"/>
      <c r="T62" s="145"/>
      <c r="U62" s="145"/>
      <c r="V62" s="145"/>
      <c r="W62" s="145"/>
      <c r="X62" s="145"/>
      <c r="Y62" s="145"/>
      <c r="Z62" s="145"/>
      <c r="AA62" s="145"/>
      <c r="AB62" s="145"/>
      <c r="AC62" s="145"/>
      <c r="AD62" s="145"/>
      <c r="AE62" s="145"/>
      <c r="AF62" s="145"/>
    </row>
    <row r="63" spans="1:32" hidden="1" x14ac:dyDescent="0.4">
      <c r="A63" s="145"/>
      <c r="B63" s="156"/>
      <c r="C63" s="145"/>
      <c r="D63" s="146"/>
      <c r="E63" s="145"/>
      <c r="F63" s="145"/>
      <c r="G63" s="145"/>
      <c r="H63" s="147"/>
      <c r="I63" s="145"/>
      <c r="J63" s="145"/>
      <c r="K63" s="145"/>
      <c r="L63" s="145"/>
      <c r="M63" s="145"/>
      <c r="N63" s="145"/>
      <c r="O63" s="148"/>
      <c r="P63" s="145"/>
      <c r="Q63" s="145"/>
      <c r="R63" s="145"/>
      <c r="S63" s="145"/>
      <c r="T63" s="145"/>
      <c r="U63" s="145"/>
      <c r="V63" s="145"/>
      <c r="W63" s="145"/>
      <c r="X63" s="145"/>
      <c r="Y63" s="145"/>
      <c r="Z63" s="145"/>
      <c r="AA63" s="145"/>
      <c r="AB63" s="145"/>
      <c r="AC63" s="145"/>
      <c r="AD63" s="145"/>
      <c r="AE63" s="145"/>
      <c r="AF63" s="145"/>
    </row>
    <row r="64" spans="1:32" hidden="1" x14ac:dyDescent="0.4">
      <c r="A64" s="145"/>
      <c r="B64" s="156"/>
      <c r="C64" s="156"/>
      <c r="D64" s="145"/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48"/>
      <c r="P64" s="145"/>
      <c r="Q64" s="145"/>
      <c r="R64" s="145"/>
      <c r="S64" s="145"/>
      <c r="T64" s="145"/>
      <c r="U64" s="145"/>
      <c r="V64" s="145"/>
      <c r="W64" s="145"/>
      <c r="X64" s="145"/>
      <c r="Y64" s="145"/>
      <c r="Z64" s="145"/>
      <c r="AA64" s="145"/>
      <c r="AB64" s="145"/>
      <c r="AC64" s="145"/>
      <c r="AD64" s="145"/>
      <c r="AE64" s="145"/>
      <c r="AF64" s="145"/>
    </row>
    <row r="65" spans="2:12" hidden="1" x14ac:dyDescent="0.4">
      <c r="B65" s="145"/>
      <c r="C65" s="145"/>
      <c r="D65" s="146"/>
      <c r="E65" s="145"/>
      <c r="F65" s="145"/>
      <c r="G65" s="145"/>
      <c r="H65" s="147"/>
      <c r="I65" s="145"/>
      <c r="J65" s="145"/>
      <c r="K65" s="145"/>
      <c r="L65" s="145"/>
    </row>
    <row r="66" spans="2:12" hidden="1" x14ac:dyDescent="0.4">
      <c r="B66" s="145"/>
      <c r="C66" s="145"/>
      <c r="D66" s="146"/>
      <c r="E66" s="145"/>
      <c r="F66" s="145"/>
      <c r="G66" s="145"/>
      <c r="H66" s="147"/>
      <c r="I66" s="145"/>
      <c r="J66" s="145"/>
      <c r="K66" s="145"/>
      <c r="L66" s="145"/>
    </row>
    <row r="67" spans="2:12" hidden="1" x14ac:dyDescent="0.4">
      <c r="B67" s="145"/>
      <c r="C67" s="145"/>
      <c r="D67" s="146"/>
      <c r="E67" s="145"/>
      <c r="F67" s="145"/>
      <c r="G67" s="145"/>
      <c r="H67" s="147"/>
      <c r="I67" s="145"/>
      <c r="J67" s="145"/>
      <c r="K67" s="145"/>
      <c r="L67" s="145"/>
    </row>
    <row r="68" spans="2:12" hidden="1" x14ac:dyDescent="0.4">
      <c r="B68" s="145"/>
      <c r="C68" s="145"/>
      <c r="D68" s="146"/>
      <c r="E68" s="145"/>
      <c r="F68" s="145"/>
      <c r="G68" s="145"/>
      <c r="H68" s="147"/>
      <c r="I68" s="145"/>
      <c r="J68" s="145"/>
      <c r="K68" s="145"/>
      <c r="L68" s="145"/>
    </row>
    <row r="69" spans="2:12" hidden="1" x14ac:dyDescent="0.4">
      <c r="B69" s="145"/>
      <c r="C69" s="145"/>
      <c r="D69" s="146"/>
      <c r="E69" s="145"/>
      <c r="F69" s="145"/>
      <c r="G69" s="145"/>
      <c r="H69" s="147"/>
      <c r="I69" s="145"/>
      <c r="J69" s="145"/>
      <c r="K69" s="145"/>
      <c r="L69" s="145"/>
    </row>
    <row r="70" spans="2:12" hidden="1" x14ac:dyDescent="0.4">
      <c r="B70" s="145"/>
      <c r="C70" s="145"/>
      <c r="D70" s="146"/>
      <c r="E70" s="145"/>
      <c r="F70" s="145"/>
      <c r="G70" s="145"/>
      <c r="H70" s="147"/>
      <c r="I70" s="145"/>
      <c r="J70" s="145"/>
      <c r="K70" s="145"/>
      <c r="L70" s="145"/>
    </row>
    <row r="71" spans="2:12" hidden="1" x14ac:dyDescent="0.4">
      <c r="B71" s="145"/>
      <c r="C71" s="145"/>
      <c r="D71" s="146"/>
      <c r="E71" s="145"/>
      <c r="F71" s="145"/>
      <c r="G71" s="145"/>
      <c r="H71" s="147"/>
      <c r="I71" s="145"/>
      <c r="J71" s="145"/>
      <c r="K71" s="145"/>
      <c r="L71" s="145"/>
    </row>
    <row r="72" spans="2:12" hidden="1" x14ac:dyDescent="0.4">
      <c r="B72" s="145"/>
      <c r="C72" s="145"/>
      <c r="D72" s="146"/>
      <c r="E72" s="145"/>
      <c r="F72" s="145"/>
      <c r="G72" s="145"/>
      <c r="H72" s="147"/>
      <c r="I72" s="145"/>
      <c r="J72" s="145"/>
      <c r="K72" s="145"/>
      <c r="L72" s="145"/>
    </row>
    <row r="73" spans="2:12" hidden="1" x14ac:dyDescent="0.4">
      <c r="B73" s="156"/>
      <c r="C73" s="156"/>
      <c r="D73" s="146"/>
      <c r="E73" s="156"/>
      <c r="F73" s="157"/>
      <c r="G73" s="156"/>
      <c r="H73" s="147"/>
      <c r="I73" s="145"/>
      <c r="J73" s="145"/>
      <c r="K73" s="145"/>
      <c r="L73" s="145"/>
    </row>
    <row r="74" spans="2:12" hidden="1" x14ac:dyDescent="0.4">
      <c r="B74" s="145"/>
      <c r="C74" s="145"/>
      <c r="D74" s="146"/>
      <c r="E74" s="145"/>
      <c r="F74" s="145"/>
      <c r="G74" s="145"/>
      <c r="H74" s="147"/>
      <c r="I74" s="145"/>
      <c r="J74" s="145"/>
      <c r="K74" s="145"/>
      <c r="L74" s="145"/>
    </row>
    <row r="75" spans="2:12" hidden="1" x14ac:dyDescent="0.4">
      <c r="B75" s="145"/>
      <c r="C75" s="145"/>
      <c r="D75" s="146"/>
      <c r="E75" s="145"/>
      <c r="F75" s="145"/>
      <c r="G75" s="145"/>
      <c r="H75" s="147"/>
      <c r="I75" s="145"/>
      <c r="J75" s="145"/>
      <c r="K75" s="145"/>
      <c r="L75" s="145"/>
    </row>
    <row r="76" spans="2:12" hidden="1" x14ac:dyDescent="0.4">
      <c r="B76" s="145"/>
      <c r="C76" s="145"/>
      <c r="D76" s="146"/>
      <c r="E76" s="145"/>
      <c r="F76" s="145"/>
      <c r="G76" s="145"/>
      <c r="H76" s="147"/>
      <c r="I76" s="145"/>
      <c r="J76" s="145"/>
      <c r="K76" s="145"/>
      <c r="L76" s="145"/>
    </row>
    <row r="77" spans="2:12" hidden="1" x14ac:dyDescent="0.4">
      <c r="B77" s="229"/>
      <c r="C77" s="229"/>
      <c r="D77" s="229"/>
      <c r="E77" s="229"/>
      <c r="F77" s="229"/>
      <c r="G77" s="156"/>
      <c r="H77" s="147"/>
      <c r="I77" s="147"/>
      <c r="J77" s="147"/>
      <c r="K77" s="147"/>
      <c r="L77" s="147"/>
    </row>
    <row r="78" spans="2:12" hidden="1" x14ac:dyDescent="0.4">
      <c r="B78" s="145"/>
      <c r="C78" s="145"/>
      <c r="D78" s="146"/>
      <c r="E78" s="145"/>
      <c r="F78" s="145"/>
      <c r="G78" s="145"/>
      <c r="H78" s="147"/>
      <c r="I78" s="145"/>
      <c r="J78" s="145"/>
      <c r="K78" s="145"/>
      <c r="L78" s="145"/>
    </row>
    <row r="79" spans="2:12" x14ac:dyDescent="0.4">
      <c r="B79" s="145"/>
      <c r="C79" s="145"/>
      <c r="D79" s="146"/>
      <c r="E79" s="145"/>
      <c r="F79" s="145"/>
      <c r="G79" s="145"/>
      <c r="H79" s="147"/>
      <c r="I79" s="145"/>
      <c r="J79" s="145"/>
      <c r="K79" s="145"/>
      <c r="L79" s="145"/>
    </row>
    <row r="80" spans="2:12" x14ac:dyDescent="0.4">
      <c r="B80" s="145"/>
      <c r="C80" s="145"/>
      <c r="D80" s="146"/>
      <c r="E80" s="145"/>
      <c r="F80" s="145"/>
      <c r="G80" s="145"/>
      <c r="H80" s="147"/>
      <c r="I80" s="145"/>
      <c r="J80" s="145"/>
      <c r="K80" s="145"/>
      <c r="L80" s="145"/>
    </row>
    <row r="81" spans="2:12" hidden="1" x14ac:dyDescent="0.4">
      <c r="B81" s="145"/>
      <c r="C81" s="145"/>
      <c r="D81" s="146"/>
      <c r="E81" s="145"/>
      <c r="F81" s="145"/>
      <c r="G81" s="145"/>
      <c r="H81" s="147"/>
      <c r="I81" s="145"/>
      <c r="J81" s="145"/>
      <c r="K81" s="145"/>
      <c r="L81" s="145"/>
    </row>
    <row r="82" spans="2:12" hidden="1" x14ac:dyDescent="0.4">
      <c r="B82" s="156"/>
      <c r="C82" s="156"/>
      <c r="D82" s="146"/>
      <c r="E82" s="156"/>
      <c r="F82" s="266"/>
      <c r="G82" s="156"/>
      <c r="H82" s="147"/>
      <c r="I82" s="145"/>
      <c r="J82" s="145"/>
      <c r="K82" s="145"/>
      <c r="L82" s="145"/>
    </row>
    <row r="83" spans="2:12" hidden="1" x14ac:dyDescent="0.4">
      <c r="B83" s="145"/>
      <c r="C83" s="145"/>
      <c r="D83" s="146"/>
      <c r="E83" s="145"/>
      <c r="F83" s="145"/>
      <c r="G83" s="145"/>
      <c r="H83" s="147"/>
      <c r="I83" s="145"/>
      <c r="J83" s="267"/>
      <c r="K83" s="267"/>
      <c r="L83" s="267"/>
    </row>
    <row r="84" spans="2:12" hidden="1" x14ac:dyDescent="0.4">
      <c r="B84" s="156"/>
      <c r="C84" s="156"/>
      <c r="D84" s="146"/>
      <c r="E84" s="156"/>
      <c r="F84" s="268"/>
      <c r="G84" s="156"/>
      <c r="H84" s="147"/>
      <c r="I84" s="145"/>
      <c r="J84" s="145"/>
      <c r="K84" s="145"/>
      <c r="L84" s="145"/>
    </row>
    <row r="85" spans="2:12" hidden="1" x14ac:dyDescent="0.4">
      <c r="B85" s="145"/>
      <c r="C85" s="145"/>
      <c r="D85" s="146"/>
      <c r="E85" s="145"/>
      <c r="F85" s="145"/>
      <c r="G85" s="145"/>
      <c r="H85" s="147"/>
      <c r="I85" s="145"/>
      <c r="J85" s="145"/>
      <c r="K85" s="145"/>
      <c r="L85" s="145"/>
    </row>
    <row r="86" spans="2:12" hidden="1" x14ac:dyDescent="0.4">
      <c r="B86" s="145"/>
      <c r="C86" s="145" t="s">
        <v>362</v>
      </c>
      <c r="D86" s="146" t="s">
        <v>363</v>
      </c>
      <c r="E86" s="145"/>
      <c r="F86" s="145" t="s">
        <v>364</v>
      </c>
      <c r="G86" s="145"/>
      <c r="H86" s="147"/>
      <c r="I86" s="145"/>
      <c r="J86" s="145"/>
      <c r="K86" s="145"/>
      <c r="L86" s="145"/>
    </row>
    <row r="87" spans="2:12" hidden="1" x14ac:dyDescent="0.4">
      <c r="B87" s="145"/>
      <c r="C87" s="147">
        <v>2400</v>
      </c>
      <c r="D87" s="269">
        <v>0.5</v>
      </c>
      <c r="E87" s="145"/>
      <c r="F87" s="145" t="s">
        <v>365</v>
      </c>
      <c r="G87" s="145"/>
      <c r="H87" s="147"/>
      <c r="I87" s="145"/>
      <c r="J87" s="145"/>
      <c r="K87" s="145"/>
      <c r="L87" s="145"/>
    </row>
    <row r="88" spans="2:12" hidden="1" x14ac:dyDescent="0.4">
      <c r="B88" s="145"/>
      <c r="C88" s="147">
        <v>4400</v>
      </c>
      <c r="D88" s="146">
        <v>1</v>
      </c>
      <c r="E88" s="145"/>
      <c r="F88" s="145"/>
      <c r="G88" s="145"/>
      <c r="H88" s="147"/>
      <c r="I88" s="145"/>
      <c r="J88" s="145"/>
      <c r="K88" s="145"/>
      <c r="L88" s="145"/>
    </row>
    <row r="89" spans="2:12" hidden="1" x14ac:dyDescent="0.4">
      <c r="B89" s="145"/>
      <c r="C89" s="147">
        <v>4800</v>
      </c>
      <c r="D89" s="146">
        <v>2</v>
      </c>
      <c r="E89" s="145"/>
      <c r="F89" s="145"/>
      <c r="G89" s="145"/>
      <c r="H89" s="147"/>
      <c r="I89" s="145"/>
      <c r="J89" s="145"/>
      <c r="K89" s="145"/>
      <c r="L89" s="145"/>
    </row>
    <row r="90" spans="2:12" hidden="1" x14ac:dyDescent="0.4">
      <c r="B90" s="145"/>
      <c r="C90" s="147">
        <v>9600</v>
      </c>
      <c r="D90" s="146"/>
      <c r="E90" s="145"/>
      <c r="F90" s="145"/>
      <c r="G90" s="145"/>
      <c r="H90" s="147"/>
      <c r="I90" s="145"/>
      <c r="J90" s="145"/>
      <c r="K90" s="145"/>
      <c r="L90" s="145"/>
    </row>
    <row r="91" spans="2:12" hidden="1" x14ac:dyDescent="0.4">
      <c r="B91" s="145"/>
      <c r="C91" s="145"/>
      <c r="D91" s="146"/>
      <c r="E91" s="145"/>
      <c r="F91" s="145"/>
      <c r="G91" s="145"/>
      <c r="H91" s="147"/>
      <c r="I91" s="145"/>
      <c r="J91" s="145"/>
      <c r="K91" s="145"/>
      <c r="L91" s="145"/>
    </row>
    <row r="92" spans="2:12" hidden="1" x14ac:dyDescent="0.4">
      <c r="B92" s="145"/>
      <c r="C92" s="145"/>
      <c r="D92" s="146"/>
      <c r="E92" s="145"/>
      <c r="F92" s="145"/>
      <c r="G92" s="145"/>
      <c r="H92" s="147"/>
      <c r="I92" s="145"/>
      <c r="J92" s="145"/>
      <c r="K92" s="145"/>
      <c r="L92" s="145"/>
    </row>
    <row r="93" spans="2:12" hidden="1" x14ac:dyDescent="0.4">
      <c r="B93" s="145"/>
      <c r="C93" s="145"/>
      <c r="D93" s="146"/>
      <c r="E93" s="145"/>
      <c r="F93" s="145"/>
      <c r="G93" s="145"/>
      <c r="H93" s="147"/>
      <c r="I93" s="145"/>
      <c r="J93" s="145"/>
      <c r="K93" s="145"/>
      <c r="L93" s="145"/>
    </row>
    <row r="94" spans="2:12" hidden="1" x14ac:dyDescent="0.4">
      <c r="B94" s="145"/>
      <c r="C94" s="145"/>
      <c r="D94" s="146"/>
      <c r="E94" s="145"/>
      <c r="F94" s="145"/>
      <c r="G94" s="145"/>
      <c r="H94" s="147"/>
      <c r="I94" s="145"/>
      <c r="J94" s="145"/>
      <c r="K94" s="145"/>
      <c r="L94" s="145"/>
    </row>
    <row r="95" spans="2:12" hidden="1" x14ac:dyDescent="0.4">
      <c r="B95" s="145"/>
      <c r="C95" s="145"/>
      <c r="D95" s="146"/>
      <c r="E95" s="145"/>
      <c r="F95" s="145"/>
      <c r="G95" s="145"/>
      <c r="H95" s="147"/>
      <c r="I95" s="145"/>
      <c r="J95" s="145"/>
      <c r="K95" s="145"/>
      <c r="L95" s="145"/>
    </row>
    <row r="96" spans="2:12" hidden="1" x14ac:dyDescent="0.4">
      <c r="B96" s="145"/>
      <c r="C96" s="145"/>
      <c r="D96" s="146"/>
      <c r="E96" s="145"/>
      <c r="F96" s="145"/>
      <c r="G96" s="145"/>
      <c r="H96" s="147"/>
      <c r="I96" s="145"/>
      <c r="J96" s="145"/>
      <c r="K96" s="145"/>
      <c r="L96" s="145"/>
    </row>
    <row r="97" spans="6:6" hidden="1" x14ac:dyDescent="0.4">
      <c r="F97" s="145"/>
    </row>
    <row r="98" spans="6:6" x14ac:dyDescent="0.4">
      <c r="F98" s="145"/>
    </row>
    <row r="99" spans="6:6" x14ac:dyDescent="0.4">
      <c r="F99" s="145"/>
    </row>
    <row r="100" spans="6:6" hidden="1" x14ac:dyDescent="0.4">
      <c r="F100" s="145"/>
    </row>
    <row r="101" spans="6:6" hidden="1" x14ac:dyDescent="0.4">
      <c r="F101" s="145">
        <v>1</v>
      </c>
    </row>
    <row r="102" spans="6:6" hidden="1" x14ac:dyDescent="0.4">
      <c r="F102" s="145">
        <v>2</v>
      </c>
    </row>
    <row r="103" spans="6:6" hidden="1" x14ac:dyDescent="0.4">
      <c r="F103" s="145">
        <v>3</v>
      </c>
    </row>
    <row r="104" spans="6:6" hidden="1" x14ac:dyDescent="0.4">
      <c r="F104" s="145">
        <v>4</v>
      </c>
    </row>
    <row r="105" spans="6:6" hidden="1" x14ac:dyDescent="0.4">
      <c r="F105" s="145">
        <v>5</v>
      </c>
    </row>
    <row r="106" spans="6:6" hidden="1" x14ac:dyDescent="0.4">
      <c r="F106" s="145">
        <v>6</v>
      </c>
    </row>
    <row r="107" spans="6:6" hidden="1" x14ac:dyDescent="0.4">
      <c r="F107" s="145">
        <v>7</v>
      </c>
    </row>
    <row r="108" spans="6:6" hidden="1" x14ac:dyDescent="0.4">
      <c r="F108" s="145">
        <v>8</v>
      </c>
    </row>
    <row r="109" spans="6:6" hidden="1" x14ac:dyDescent="0.4">
      <c r="F109" s="145">
        <v>9</v>
      </c>
    </row>
    <row r="110" spans="6:6" hidden="1" x14ac:dyDescent="0.4">
      <c r="F110" s="145">
        <v>10</v>
      </c>
    </row>
    <row r="111" spans="6:6" hidden="1" x14ac:dyDescent="0.4">
      <c r="F111" s="145">
        <v>11</v>
      </c>
    </row>
    <row r="112" spans="6:6" hidden="1" x14ac:dyDescent="0.4">
      <c r="F112" s="145">
        <v>12</v>
      </c>
    </row>
    <row r="113" spans="6:6" hidden="1" x14ac:dyDescent="0.4">
      <c r="F113" s="145">
        <v>13</v>
      </c>
    </row>
    <row r="114" spans="6:6" hidden="1" x14ac:dyDescent="0.4">
      <c r="F114" s="145">
        <v>14</v>
      </c>
    </row>
    <row r="115" spans="6:6" hidden="1" x14ac:dyDescent="0.4">
      <c r="F115" s="145">
        <v>15</v>
      </c>
    </row>
    <row r="116" spans="6:6" hidden="1" x14ac:dyDescent="0.4">
      <c r="F116" s="145">
        <v>16</v>
      </c>
    </row>
    <row r="117" spans="6:6" hidden="1" x14ac:dyDescent="0.4">
      <c r="F117" s="145">
        <v>17</v>
      </c>
    </row>
    <row r="118" spans="6:6" hidden="1" x14ac:dyDescent="0.4">
      <c r="F118" s="145">
        <v>18</v>
      </c>
    </row>
    <row r="119" spans="6:6" hidden="1" x14ac:dyDescent="0.4">
      <c r="F119" s="145">
        <v>19</v>
      </c>
    </row>
    <row r="120" spans="6:6" hidden="1" x14ac:dyDescent="0.4">
      <c r="F120" s="145">
        <v>20</v>
      </c>
    </row>
    <row r="121" spans="6:6" hidden="1" x14ac:dyDescent="0.4">
      <c r="F121" s="145">
        <v>21</v>
      </c>
    </row>
    <row r="122" spans="6:6" hidden="1" x14ac:dyDescent="0.4">
      <c r="F122" s="145">
        <v>22</v>
      </c>
    </row>
    <row r="123" spans="6:6" hidden="1" x14ac:dyDescent="0.4">
      <c r="F123" s="145">
        <v>23</v>
      </c>
    </row>
    <row r="124" spans="6:6" hidden="1" x14ac:dyDescent="0.4">
      <c r="F124" s="145">
        <v>24</v>
      </c>
    </row>
    <row r="125" spans="6:6" hidden="1" x14ac:dyDescent="0.4">
      <c r="F125" s="145">
        <v>25</v>
      </c>
    </row>
    <row r="126" spans="6:6" hidden="1" x14ac:dyDescent="0.4">
      <c r="F126" s="145">
        <v>26</v>
      </c>
    </row>
    <row r="127" spans="6:6" hidden="1" x14ac:dyDescent="0.4">
      <c r="F127" s="145">
        <v>27</v>
      </c>
    </row>
    <row r="128" spans="6:6" hidden="1" x14ac:dyDescent="0.4">
      <c r="F128" s="145">
        <v>28</v>
      </c>
    </row>
    <row r="129" spans="6:6" hidden="1" x14ac:dyDescent="0.4">
      <c r="F129" s="145">
        <v>29</v>
      </c>
    </row>
    <row r="130" spans="6:6" hidden="1" x14ac:dyDescent="0.4">
      <c r="F130" s="145">
        <v>30</v>
      </c>
    </row>
    <row r="131" spans="6:6" x14ac:dyDescent="0.4">
      <c r="F131" s="145"/>
    </row>
  </sheetData>
  <mergeCells count="23">
    <mergeCell ref="G54:H54"/>
    <mergeCell ref="G55:H55"/>
    <mergeCell ref="C57:E57"/>
    <mergeCell ref="C58:E58"/>
    <mergeCell ref="C26:E26"/>
    <mergeCell ref="C27:E27"/>
    <mergeCell ref="C47:E47"/>
    <mergeCell ref="C48:E48"/>
    <mergeCell ref="C49:E49"/>
    <mergeCell ref="C50:E50"/>
    <mergeCell ref="C25:E25"/>
    <mergeCell ref="B2:K2"/>
    <mergeCell ref="U2:U3"/>
    <mergeCell ref="C5:E5"/>
    <mergeCell ref="G8:H8"/>
    <mergeCell ref="G9:H9"/>
    <mergeCell ref="C10:E10"/>
    <mergeCell ref="G10:H10"/>
    <mergeCell ref="C12:E12"/>
    <mergeCell ref="C13:E14"/>
    <mergeCell ref="C20:E20"/>
    <mergeCell ref="M20:N20"/>
    <mergeCell ref="M21:N21"/>
  </mergeCells>
  <phoneticPr fontId="2" type="noConversion"/>
  <dataValidations count="5">
    <dataValidation type="list" allowBlank="1" showInputMessage="1" showErrorMessage="1" sqref="F5" xr:uid="{00000000-0002-0000-0A00-000000000000}">
      <formula1>$F$101:$F$130</formula1>
    </dataValidation>
    <dataValidation type="list" allowBlank="1" showInputMessage="1" showErrorMessage="1" sqref="F34 F39 F43 F29 F17:F18" xr:uid="{00000000-0002-0000-0A00-000001000000}">
      <formula1>$F$86:$F$87</formula1>
    </dataValidation>
    <dataValidation showInputMessage="1" showErrorMessage="1" sqref="D41 D44" xr:uid="{00000000-0002-0000-0A00-000002000000}"/>
    <dataValidation type="list" allowBlank="1" showInputMessage="1" showErrorMessage="1" sqref="D31 D36" xr:uid="{00000000-0002-0000-0A00-000003000000}">
      <formula1>$D$87:$D$89</formula1>
    </dataValidation>
    <dataValidation type="list" allowBlank="1" showInputMessage="1" showErrorMessage="1" sqref="C87:C90 D30 D35 D40" xr:uid="{00000000-0002-0000-0A00-000004000000}">
      <formula1>$C$87:$C$90</formula1>
    </dataValidation>
  </dataValidations>
  <pageMargins left="0.7" right="0.7" top="0.75" bottom="0.75" header="0.3" footer="0.3"/>
  <pageSetup paperSize="9" scale="73" orientation="portrait" r:id="rId1"/>
  <colBreaks count="1" manualBreakCount="1">
    <brk id="11" min="1" max="8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5</vt:i4>
      </vt:variant>
    </vt:vector>
  </HeadingPairs>
  <TitlesOfParts>
    <vt:vector size="14" baseType="lpstr">
      <vt:lpstr>생산일지 (4)</vt:lpstr>
      <vt:lpstr>생산일지 0.5</vt:lpstr>
      <vt:lpstr>배합지시서(40%) (2)</vt:lpstr>
      <vt:lpstr>배합지시서 (30%)</vt:lpstr>
      <vt:lpstr>물탱크 배합</vt:lpstr>
      <vt:lpstr>SMC기계 관리가이드</vt:lpstr>
      <vt:lpstr>SMC 공정별 핵심 가이드</vt:lpstr>
      <vt:lpstr>SMC시트관리가이드</vt:lpstr>
      <vt:lpstr>SMC_Calculation (TEST)</vt:lpstr>
      <vt:lpstr>'SMC_Calculation (TEST)'!Print_Area</vt:lpstr>
      <vt:lpstr>'배합지시서 (30%)'!Print_Area</vt:lpstr>
      <vt:lpstr>'배합지시서(40%) (2)'!Print_Area</vt:lpstr>
      <vt:lpstr>'생산일지 (4)'!Print_Area</vt:lpstr>
      <vt:lpstr>'생산일지 0.5'!Print_Area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jung ho choi</cp:lastModifiedBy>
  <cp:lastPrinted>2026-07-14T04:38:43Z</cp:lastPrinted>
  <dcterms:created xsi:type="dcterms:W3CDTF">2026-01-30T03:46:29Z</dcterms:created>
  <dcterms:modified xsi:type="dcterms:W3CDTF">2026-10-15T07:35:24Z</dcterms:modified>
</cp:coreProperties>
</file>